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6d7690725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a367ec48cc34e97"/>
    <x:sheet xmlns:r="http://schemas.openxmlformats.org/officeDocument/2006/relationships" name="Jira_Tickets" sheetId="2" r:id="R370b74fc980648f0"/>
    <x:sheet xmlns:r="http://schemas.openxmlformats.org/officeDocument/2006/relationships" name="Dashboard" sheetId="3" r:id="R069ec45a00c74cf5"/>
    <x:sheet xmlns:r="http://schemas.openxmlformats.org/officeDocument/2006/relationships" name="Weekly_Report" sheetId="4" r:id="Re7f8bfe349254772"/>
    <x:sheet xmlns:r="http://schemas.openxmlformats.org/officeDocument/2006/relationships" name="Portfolio_Guide" sheetId="5" r:id="Rafe1b53cd4354cc4"/>
    <x:sheet xmlns:r="http://schemas.openxmlformats.org/officeDocument/2006/relationships" name="Audit_Findings" sheetId="6" r:id="Re660d9c1d2b94e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0"/>
    <x:numFmt numFmtId="202" formatCode="0%"/>
    <x:numFmt numFmtId="203" formatCode="dd mmm yyyy hh:mm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8A4B00"/>
      <x:name val="Carlito"/>
    </x:font>
    <x:font>
      <x:b/>
      <x:sz val="11"/>
      <x:color rgb="FFFFFFFF"/>
      <x:name val="Carlito"/>
    </x:font>
    <x:font>
      <x:sz val="11"/>
      <x:color rgb="FF8A4B00"/>
      <x:name val="Carlito"/>
    </x:font>
    <x:font>
      <x:b/>
      <x:sz val="19"/>
      <x:color rgb="FF17324D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5F6"/>
      </x:patternFill>
    </x:fill>
    <x:fill>
      <x:patternFill patternType="solid">
        <x:fgColor rgb="FFEFF5F9"/>
      </x:patternFill>
    </x:fill>
    <x:fill>
      <x:patternFill patternType="solid">
        <x:fgColor rgb="FFFFF2D5"/>
      </x:patternFill>
    </x:fill>
    <x:fill>
      <x:patternFill patternType="solid">
        <x:fgColor rgb="FFFFF7E8"/>
      </x:patternFill>
    </x:fill>
    <x:fill>
      <x:patternFill patternType="solid">
        <x:fgColor rgb="FFFFFDFC"/>
      </x:patternFill>
    </x:fill>
    <x:fill>
      <x:patternFill patternType="solid">
        <x:fgColor rgb="FFEAF7F4"/>
      </x:patternFill>
    </x:fill>
    <x:fill>
      <x:patternFill patternType="solid">
        <x:fgColor rgb="FFECF6F7"/>
      </x:patternFill>
    </x:fill>
    <x:fill>
      <x:patternFill patternType="solid">
        <x:fgColor rgb="FFF1F6F9"/>
      </x:patternFill>
    </x:fill>
    <x:fill>
      <x:patternFill patternType="solid">
        <x:fgColor rgb="FF164E6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8" borderId="0" xfId="0" applyNumberFormat="1" applyFont="1" applyFill="1" applyBorder="1"/>
    <x:xf numFmtId="201" fontId="0" fillId="0" borderId="0" xfId="0" applyNumberFormat="1" applyFont="1" applyFill="1" applyBorder="1"/>
    <x:xf numFmtId="201" fontId="0" fillId="8" borderId="1" xfId="0" applyNumberFormat="1" applyFont="1" applyFill="1" applyBorder="1"/>
    <x:xf numFmtId="201" fontId="0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3" fontId="0" fillId="7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FCE7E7"/>
        </x:patternFill>
      </x:fill>
    </x:dxf>
    <x:dxf>
      <x:fill>
        <x:patternFill>
          <x:bgColor rgb="FFFFF1C9"/>
        </x:patternFill>
      </x:fill>
    </x:dxf>
    <x:dxf>
      <x:fill>
        <x:patternFill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b02f8fd2c4fa2" /><Relationship Type="http://schemas.openxmlformats.org/officeDocument/2006/relationships/theme" Target="/xl/theme/theme1.xml" Id="R4364751a9295470b" /><Relationship Type="http://schemas.openxmlformats.org/officeDocument/2006/relationships/sharedStrings" Target="/xl/sharedStrings.xml" Id="Re8169242f6d4441d" /><Relationship Type="http://schemas.openxmlformats.org/officeDocument/2006/relationships/worksheet" Target="/xl/worksheets/sheet1.xml" Id="Rda367ec48cc34e97" /><Relationship Type="http://schemas.openxmlformats.org/officeDocument/2006/relationships/worksheet" Target="/xl/worksheets/sheet2.xml" Id="R370b74fc980648f0" /><Relationship Type="http://schemas.openxmlformats.org/officeDocument/2006/relationships/worksheet" Target="/xl/worksheets/sheet3.xml" Id="R069ec45a00c74cf5" /><Relationship Type="http://schemas.openxmlformats.org/officeDocument/2006/relationships/worksheet" Target="/xl/worksheets/sheet4.xml" Id="Re7f8bfe349254772" /><Relationship Type="http://schemas.openxmlformats.org/officeDocument/2006/relationships/worksheet" Target="/xl/worksheets/sheet5.xml" Id="Rafe1b53cd4354cc4" /><Relationship Type="http://schemas.openxmlformats.org/officeDocument/2006/relationships/worksheet" Target="/xl/worksheets/sheet6.xml" Id="Re660d9c1d2b94e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747edecf0d4d26" /><Relationship Type="http://schemas.openxmlformats.org/officeDocument/2006/relationships/chart" Target="/xl/drawings/charts/chart2.xml" Id="R0315832762464e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doughnutChart>
        <c:ser>
          <c:idx val="0"/>
          <c:order val="0"/>
          <c:tx>
            <c:v>Ticket Count</c:v>
          </c:tx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'Dashboard'!$B$17:$B$20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Priority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 Count</c:v>
          </c:tx>
          <c:cat>
            <c:strRef>
              <c:f>'Dashboard'!$E$17:$E$20</c:f>
              <c:strCache>
                <c:ptCount val="0"/>
              </c:strCache>
            </c:strRef>
          </c:cat>
          <c:val>
            <c:numRef>
              <c:f>'Dashboard'!$F$17:$F$20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747edecf0d4d26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15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15832762464e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9ed56f4315e4139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2" customHeight="1">
      <x:c r="A1" s="4" t="str">
        <x:v>IDBO  |  DAY 5 OPERATIONS TRACKER</x:v>
      </x:c>
      <x:c r="B1" s="4"/>
      <x:c r="C1" s="4"/>
      <x:c r="D1" s="4"/>
      <x:c r="E1" s="4"/>
      <x:c r="F1" s="4"/>
      <x:c r="G1" s="4"/>
      <x:c r="H1" s="4"/>
    </x:row>
    <x:row r="2" ht="42" customHeight="1">
      <x:c r="A2" s="4"/>
      <x:c r="B2" s="4"/>
      <x:c r="C2" s="4"/>
      <x:c r="D2" s="4"/>
      <x:c r="E2" s="4"/>
      <x:c r="F2" s="4"/>
      <x:c r="G2" s="4"/>
      <x:c r="H2" s="4"/>
    </x:row>
    <x:row r="4" ht="24" customHeight="1">
      <x:c r="A4" s="9" t="str">
        <x:v>START HERE — DEMO SNAPSHOT, NOT A LIVE JIRA CONNECTION</x:v>
      </x:c>
      <x:c r="B4" s="9"/>
      <x:c r="C4" s="9"/>
      <x:c r="D4" s="9"/>
      <x:c r="E4" s="9"/>
      <x:c r="F4" s="9"/>
      <x:c r="G4" s="9"/>
      <x:c r="H4" s="9"/>
    </x:row>
    <x:row r="6" ht="31" customHeight="1">
      <x:c r="A6" s="14" t="str">
        <x:v>Project</x:v>
      </x:c>
      <x:c r="B6" s="18" t="str">
        <x:v>IT Delivery &amp; BAU Operations (IDBO)</x:v>
      </x:c>
    </x:row>
    <x:row r="7" ht="31" customHeight="1">
      <x:c r="A7" s="14" t="str">
        <x:v>Reporting date</x:v>
      </x:c>
      <x:c r="B7" s="20" t="n">
        <x:v>46325</x:v>
      </x:c>
    </x:row>
    <x:row r="8" ht="31" customHeight="1">
      <x:c r="A8" s="14" t="str">
        <x:v>Stale threshold (days)</x:v>
      </x:c>
      <x:c r="B8" s="18" t="n">
        <x:v>7</x:v>
      </x:c>
    </x:row>
    <x:row r="9" ht="31" customHeight="1">
      <x:c r="A9" s="14" t="str">
        <x:v>Source</x:v>
      </x:c>
      <x:c r="B9" s="18" t="str">
        <x:v>Actual Jira.csv export (30 Oct 2026): 25 work items, fields cross-checked.</x:v>
      </x:c>
    </x:row>
    <x:row r="10" ht="31" customHeight="1">
      <x:c r="A10" s="14" t="str">
        <x:v>Important</x:v>
      </x:c>
      <x:c r="B10" s="18" t="str">
        <x:v>Verified status, priority, due, updated and labels from uploaded Jira.csv; original export is not for public sharing.</x:v>
      </x:c>
    </x:row>
    <x:row r="11" ht="31" customHeight="1">
      <x:c r="A11" s="14" t="str">
        <x:v>Real 'Updated At'</x:v>
      </x:c>
      <x:c r="B11" s="18" t="str">
        <x:v>Actual Jira Updated timestamps imported. Zero stale tickets at the seven-day threshold on 30 Oct 2026.</x:v>
      </x:c>
    </x:row>
    <x:row r="12" ht="31" customHeight="1">
      <x:c r="A12" s="14" t="str">
        <x:v>Simulated stale</x:v>
      </x:c>
      <x:c r="B12" s="18" t="str">
        <x:v>Only labels with 'stale-simulated'; NEVER mix with actual 7-day inactive tickets.</x:v>
      </x:c>
    </x:row>
    <x:row r="13" ht="31" customHeight="1">
      <x:c r="A13" s="14" t="str">
        <x:v>Overdue rule</x:v>
      </x:c>
      <x:c r="B13" s="18" t="str">
        <x:v>Open work items with Due Date earlier than the reporting date; does not include due-today.</x:v>
      </x:c>
    </x:row>
    <x:row r="14" ht="31" customHeight="1">
      <x:c r="A14" s="14" t="str">
        <x:v>Done rule</x:v>
      </x:c>
      <x:c r="B14" s="18" t="str">
        <x:v>Done work items excluded from open-overdue; do not claim historical tasks were actually completed.</x:v>
      </x:c>
    </x:row>
    <x:row r="15" ht="31" customHeight="1">
      <x:c r="A15" s="14" t="str">
        <x:v>Workflow</x:v>
      </x:c>
      <x:c r="B15" s="18" t="str">
        <x:v>Jira &gt; Search work items &gt; JQL: project = IDBO ORDER BY key ASC &gt; Export CSV.</x:v>
      </x:c>
    </x:row>
    <x:row r="16" ht="31" customHeight="1">
      <x:c r="A16" s="14" t="str">
        <x:v>Refresh</x:v>
      </x:c>
      <x:c r="B16" s="18" t="str">
        <x:v>For a new snapshot export Jira.csv again and refresh A:K by key; L:P recalculate. This file does not sync live.</x:v>
      </x:c>
    </x:row>
    <x:row r="17" ht="31" customHeight="1">
      <x:c r="A17" s="14" t="str">
        <x:v>Privacy</x:v>
      </x:c>
      <x:c r="B17" s="18" t="str">
        <x:v>Review any names, emails, comments, and internal URLs before uploading public portfolio.</x:v>
      </x:c>
    </x:row>
    <x:row r="19" ht="24" customHeight="1">
      <x:c r="A19" s="9" t="str">
        <x:v>EDIT YELLOW/WHITE INPUTS ON Jira_Tickets — GREEN/GREY COLUMNS ARE CALCULATED</x:v>
      </x:c>
      <x:c r="B19" s="9"/>
      <x:c r="C19" s="9"/>
      <x:c r="D19" s="9"/>
      <x:c r="E19" s="9"/>
      <x:c r="F19" s="9"/>
      <x:c r="G19" s="9"/>
      <x:c r="H19" s="9"/>
    </x:row>
  </x:sheetData>
  <x:mergeCells>
    <x:mergeCell ref="A1:H2"/>
    <x:mergeCell ref="A4:H4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7" hidden="0" customWidth="1"/>
    <x:col min="4" max="4" width="12" hidden="0" customWidth="1"/>
    <x:col min="5" max="5" width="23" hidden="0" customWidth="1"/>
    <x:col min="6" max="6" width="16" hidden="0" customWidth="1"/>
    <x:col min="7" max="7" width="19" hidden="0" customWidth="1"/>
    <x:col min="8" max="8" width="35" hidden="0" customWidth="1"/>
    <x:col min="9" max="9" width="26" hidden="0" customWidth="1"/>
    <x:col min="10" max="10" width="36" hidden="0" customWidth="1"/>
    <x:col min="11" max="11" width="16" hidden="0" customWidth="1"/>
    <x:col min="12" max="12" width="13" hidden="0" customWidth="1"/>
    <x:col min="13" max="13" width="14" hidden="0" customWidth="1"/>
    <x:col min="14" max="14" width="15" hidden="0" customWidth="1"/>
    <x:col min="15" max="15" width="16" hidden="0" customWidth="1"/>
    <x:col min="16" max="16" width="17" hidden="0" customWidth="1"/>
    <x:col min="17" max="17" width="24" hidden="0" customWidth="1"/>
  </x:cols>
  <x:sheetData>
    <x:row r="1" ht="42" customHeight="1">
      <x:c r="A1" s="4" t="str">
        <x:v>IDBO — JIRA WORK ITEMS | REPORTING SNAPSHOT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23" t="str">
        <x:v>VERIFIED JIRA CSV EXPORT (30 OCT 2026) — 25 tickets; date/status/priority from Jira.csv. Owner names anonymized for portfolio.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</x:row>
    <x:row r="4" ht="30" customHeight="1">
      <x:c r="A4" s="28" t="str">
        <x:v>Key</x:v>
      </x:c>
      <x:c r="B4" s="28" t="str">
        <x:v>Summary</x:v>
      </x:c>
      <x:c r="C4" s="28" t="str">
        <x:v>Status</x:v>
      </x:c>
      <x:c r="D4" s="28" t="str">
        <x:v>Priority</x:v>
      </x:c>
      <x:c r="E4" s="28" t="str">
        <x:v>Assignee</x:v>
      </x:c>
      <x:c r="F4" s="28" t="str">
        <x:v>Due Date</x:v>
      </x:c>
      <x:c r="G4" s="28" t="str">
        <x:v>Updated At</x:v>
      </x:c>
      <x:c r="H4" s="28" t="str">
        <x:v>Labels</x:v>
      </x:c>
      <x:c r="I4" s="28" t="str">
        <x:v>Blocker Owner</x:v>
      </x:c>
      <x:c r="J4" s="28" t="str">
        <x:v>Next Action</x:v>
      </x:c>
      <x:c r="K4" s="28" t="str">
        <x:v>Follow-up Date</x:v>
      </x:c>
      <x:c r="L4" s="28" t="str">
        <x:v>Overdue?</x:v>
      </x:c>
      <x:c r="M4" s="28" t="str">
        <x:v>Stale 7d?</x:v>
      </x:c>
      <x:c r="N4" s="28" t="str">
        <x:v>Sim. Stale?</x:v>
      </x:c>
      <x:c r="O4" s="28" t="str">
        <x:v>Days Overdue</x:v>
      </x:c>
      <x:c r="P4" s="28" t="str">
        <x:v>Owner Quality</x:v>
      </x:c>
      <x:c r="Q4" s="28" t="str">
        <x:v>Source / Historical Dates</x:v>
      </x:c>
    </x:row>
    <x:row r="5" ht="31" customHeight="1">
      <x:c r="A5" s="40" t="str">
        <x:v>IDBO-1</x:v>
      </x:c>
      <x:c r="B5" s="41" t="str">
        <x:v>Investigate intermittent login failures</x:v>
      </x:c>
      <x:c r="C5" s="40" t="str">
        <x:v>To Do</x:v>
      </x:c>
      <x:c r="D5" s="40" t="str">
        <x:v>High</x:v>
      </x:c>
      <x:c r="E5" s="40" t="str">
        <x:v>Project Owner (anonymized)</x:v>
      </x:c>
      <x:c r="F5" s="42" t="n">
        <x:v>46332</x:v>
      </x:c>
      <x:c r="G5" s="75" t="n">
        <x:v>46325.40694444445</x:v>
      </x:c>
      <x:c r="H5" s="40" t="str">
        <x:v>bau, incident</x:v>
      </x:c>
      <x:c r="I5" s="40" t="str"/>
      <x:c r="J5" s="40" t="str"/>
      <x:c r="K5" s="42"/>
      <x:c r="L5" s="46" t="str">
        <x:f>IF(A5="","",IF(OR(C5="Done",F5=""),"No",IF(F5&lt;START_HERE!$B$7,"Yes","No")))</x:f>
        <x:v>No</x:v>
      </x:c>
      <x:c r="M5" s="46" t="str">
        <x:f>IF(A5="","",IF(C5="Done","No",IF(G5="","Unknown",IF(G5&lt;=START_HERE!$B$7-START_HERE!$B$8,"Yes","No"))))</x:f>
        <x:v>No</x:v>
      </x:c>
      <x:c r="N5" s="46" t="str">
        <x:f>IF(A5="","",IF(ISNUMBER(SEARCH("stale-simulated",H5)),"Yes","No"))</x:f>
        <x:v>No</x:v>
      </x:c>
      <x:c r="O5" s="50" t="n">
        <x:f>IF(A5="","",IF(OR(C5="Done",F5=""),0,MAX(0,START_HERE!$B$7-F5)))</x:f>
        <x:v>0</x:v>
      </x:c>
      <x:c r="P5" s="46" t="str">
        <x:f>IF(A5="","",IF(E5="","Missing owner","OK"))</x:f>
        <x:v>OK</x:v>
      </x:c>
      <x:c r="Q5" s="48" t="str">
        <x:v>Jira.csv verified</x:v>
      </x:c>
    </x:row>
    <x:row r="6" ht="31" customHeight="1">
      <x:c r="A6" s="40" t="str">
        <x:v>IDBO-2</x:v>
      </x:c>
      <x:c r="B6" s="41" t="str">
        <x:v>Review pending security patches</x:v>
      </x:c>
      <x:c r="C6" s="40" t="str">
        <x:v>To Do</x:v>
      </x:c>
      <x:c r="D6" s="40" t="str">
        <x:v>Highest</x:v>
      </x:c>
      <x:c r="E6" s="40" t="str">
        <x:v>Project Owner (anonymized)</x:v>
      </x:c>
      <x:c r="F6" s="42" t="n">
        <x:v>46329</x:v>
      </x:c>
      <x:c r="G6" s="75" t="n">
        <x:v>46325.41111111111</x:v>
      </x:c>
      <x:c r="H6" s="40" t="str">
        <x:v>bau, remediation, security</x:v>
      </x:c>
      <x:c r="I6" s="40" t="str"/>
      <x:c r="J6" s="40" t="str"/>
      <x:c r="K6" s="42"/>
      <x:c r="L6" s="46" t="str">
        <x:f>IF(A6="","",IF(OR(C6="Done",F6=""),"No",IF(F6&lt;START_HERE!$B$7,"Yes","No")))</x:f>
        <x:v>No</x:v>
      </x:c>
      <x:c r="M6" s="46" t="str">
        <x:f>IF(A6="","",IF(C6="Done","No",IF(G6="","Unknown",IF(G6&lt;=START_HERE!$B$7-START_HERE!$B$8,"Yes","No"))))</x:f>
        <x:v>No</x:v>
      </x:c>
      <x:c r="N6" s="46" t="str">
        <x:f>IF(A6="","",IF(ISNUMBER(SEARCH("stale-simulated",H6)),"Yes","No"))</x:f>
        <x:v>No</x:v>
      </x:c>
      <x:c r="O6" s="50" t="n">
        <x:f>IF(A6="","",IF(OR(C6="Done",F6=""),0,MAX(0,START_HERE!$B$7-F6)))</x:f>
        <x:v>0</x:v>
      </x:c>
      <x:c r="P6" s="46" t="str">
        <x:f>IF(A6="","",IF(E6="","Missing owner","OK"))</x:f>
        <x:v>OK</x:v>
      </x:c>
      <x:c r="Q6" s="48" t="str">
        <x:v>Jira.csv verified</x:v>
      </x:c>
    </x:row>
    <x:row r="7" ht="31" customHeight="1">
      <x:c r="A7" s="40" t="str">
        <x:v>IDBO-3</x:v>
      </x:c>
      <x:c r="B7" s="41" t="str">
        <x:v>Update weekly IT operations report</x:v>
      </x:c>
      <x:c r="C7" s="40" t="str">
        <x:v>In Progress</x:v>
      </x:c>
      <x:c r="D7" s="40" t="str">
        <x:v>Medium</x:v>
      </x:c>
      <x:c r="E7" s="40" t="str">
        <x:v>Project Owner (anonymized)</x:v>
      </x:c>
      <x:c r="F7" s="42" t="n">
        <x:v>46325</x:v>
      </x:c>
      <x:c r="G7" s="75" t="n">
        <x:v>46325.475694444445</x:v>
      </x:c>
      <x:c r="H7" s="40" t="str">
        <x:v>bau, incident, reporting, stale-simulated, weekly-update</x:v>
      </x:c>
      <x:c r="I7" s="40" t="str"/>
      <x:c r="J7" s="40" t="str"/>
      <x:c r="K7" s="42"/>
      <x:c r="L7" s="46" t="str">
        <x:f>IF(A7="","",IF(OR(C7="Done",F7=""),"No",IF(F7&lt;START_HERE!$B$7,"Yes","No")))</x:f>
        <x:v>No</x:v>
      </x:c>
      <x:c r="M7" s="46" t="str">
        <x:f>IF(A7="","",IF(C7="Done","No",IF(G7="","Unknown",IF(G7&lt;=START_HERE!$B$7-START_HERE!$B$8,"Yes","No"))))</x:f>
        <x:v>No</x:v>
      </x:c>
      <x:c r="N7" s="46" t="str">
        <x:f>IF(A7="","",IF(ISNUMBER(SEARCH("stale-simulated",H7)),"Yes","No"))</x:f>
        <x:v>Yes</x:v>
      </x:c>
      <x:c r="O7" s="50" t="n">
        <x:f>IF(A7="","",IF(OR(C7="Done",F7=""),0,MAX(0,START_HERE!$B$7-F7)))</x:f>
        <x:v>0</x:v>
      </x:c>
      <x:c r="P7" s="46" t="str">
        <x:f>IF(A7="","",IF(E7="","Missing owner","OK"))</x:f>
        <x:v>OK</x:v>
      </x:c>
      <x:c r="Q7" s="48" t="str">
        <x:v>Jira.csv verified</x:v>
      </x:c>
    </x:row>
    <x:row r="8" ht="31" customHeight="1">
      <x:c r="A8" s="40" t="str">
        <x:v>IDBO-4</x:v>
      </x:c>
      <x:c r="B8" s="41" t="str">
        <x:v>Investigate API response time degradation</x:v>
      </x:c>
      <x:c r="C8" s="40" t="str">
        <x:v>Blocked</x:v>
      </x:c>
      <x:c r="D8" s="40" t="str">
        <x:v>High</x:v>
      </x:c>
      <x:c r="E8" s="40" t="str">
        <x:v>Project Owner (anonymized)</x:v>
      </x:c>
      <x:c r="F8" s="42" t="n">
        <x:v>46330</x:v>
      </x:c>
      <x:c r="G8" s="75" t="n">
        <x:v>46325.47430555556</x:v>
      </x:c>
      <x:c r="H8" s="40" t="str">
        <x:v>api, bau, blocked, incident</x:v>
      </x:c>
      <x:c r="I8" s="40" t="str">
        <x:v>Infrastructure Team</x:v>
      </x:c>
      <x:c r="J8" s="40" t="str">
        <x:v>Follow up for API performance logs</x:v>
      </x:c>
      <x:c r="K8" s="42" t="n">
        <x:v>46328</x:v>
      </x:c>
      <x:c r="L8" s="46" t="str">
        <x:f>IF(A8="","",IF(OR(C8="Done",F8=""),"No",IF(F8&lt;START_HERE!$B$7,"Yes","No")))</x:f>
        <x:v>No</x:v>
      </x:c>
      <x:c r="M8" s="46" t="str">
        <x:f>IF(A8="","",IF(C8="Done","No",IF(G8="","Unknown",IF(G8&lt;=START_HERE!$B$7-START_HERE!$B$8,"Yes","No"))))</x:f>
        <x:v>No</x:v>
      </x:c>
      <x:c r="N8" s="46" t="str">
        <x:f>IF(A8="","",IF(ISNUMBER(SEARCH("stale-simulated",H8)),"Yes","No"))</x:f>
        <x:v>No</x:v>
      </x:c>
      <x:c r="O8" s="50" t="n">
        <x:f>IF(A8="","",IF(OR(C8="Done",F8=""),0,MAX(0,START_HERE!$B$7-F8)))</x:f>
        <x:v>0</x:v>
      </x:c>
      <x:c r="P8" s="46" t="str">
        <x:f>IF(A8="","",IF(E8="","Missing owner","OK"))</x:f>
        <x:v>OK</x:v>
      </x:c>
      <x:c r="Q8" s="48" t="str">
        <x:v>Jira.csv verified</x:v>
      </x:c>
    </x:row>
    <x:row r="9" ht="31" customHeight="1">
      <x:c r="A9" s="40" t="str">
        <x:v>IDBO-5</x:v>
      </x:c>
      <x:c r="B9" s="41" t="str">
        <x:v>Document incident escalation procedure</x:v>
      </x:c>
      <x:c r="C9" s="40" t="str">
        <x:v>In Progress</x:v>
      </x:c>
      <x:c r="D9" s="40" t="str">
        <x:v>Low</x:v>
      </x:c>
      <x:c r="E9" s="40" t="str">
        <x:v>Project Owner (anonymized)</x:v>
      </x:c>
      <x:c r="F9" s="42" t="n">
        <x:v>46324</x:v>
      </x:c>
      <x:c r="G9" s="75" t="n">
        <x:v>46325.419444444444</x:v>
      </x:c>
      <x:c r="H9" s="40" t="str">
        <x:v>confluence, documentation, process</x:v>
      </x:c>
      <x:c r="I9" s="40" t="str"/>
      <x:c r="J9" s="40" t="str"/>
      <x:c r="K9" s="42"/>
      <x:c r="L9" s="46" t="str">
        <x:f>IF(A9="","",IF(OR(C9="Done",F9=""),"No",IF(F9&lt;START_HERE!$B$7,"Yes","No")))</x:f>
        <x:v>Yes</x:v>
      </x:c>
      <x:c r="M9" s="46" t="str">
        <x:f>IF(A9="","",IF(C9="Done","No",IF(G9="","Unknown",IF(G9&lt;=START_HERE!$B$7-START_HERE!$B$8,"Yes","No"))))</x:f>
        <x:v>No</x:v>
      </x:c>
      <x:c r="N9" s="46" t="str">
        <x:f>IF(A9="","",IF(ISNUMBER(SEARCH("stale-simulated",H9)),"Yes","No"))</x:f>
        <x:v>No</x:v>
      </x:c>
      <x:c r="O9" s="50" t="n">
        <x:f>IF(A9="","",IF(OR(C9="Done",F9=""),0,MAX(0,START_HERE!$B$7-F9)))</x:f>
        <x:v>1</x:v>
      </x:c>
      <x:c r="P9" s="46" t="str">
        <x:f>IF(A9="","",IF(E9="","Missing owner","OK"))</x:f>
        <x:v>OK</x:v>
      </x:c>
      <x:c r="Q9" s="48" t="str">
        <x:v>Jira.csv verified; simulated due date precedes creation</x:v>
      </x:c>
    </x:row>
    <x:row r="10" ht="31" customHeight="1">
      <x:c r="A10" s="40" t="str">
        <x:v>IDBO-6</x:v>
      </x:c>
      <x:c r="B10" s="41" t="str">
        <x:v>Review failed overnight backup jobs</x:v>
      </x:c>
      <x:c r="C10" s="40" t="str">
        <x:v>In Progress</x:v>
      </x:c>
      <x:c r="D10" s="40" t="str">
        <x:v>High</x:v>
      </x:c>
      <x:c r="E10" s="40" t="str">
        <x:v>Project Owner (anonymized)</x:v>
      </x:c>
      <x:c r="F10" s="42" t="n">
        <x:v>46328</x:v>
      </x:c>
      <x:c r="G10" s="75" t="n">
        <x:v>46325.47777777778</x:v>
      </x:c>
      <x:c r="H10" s="40" t="str">
        <x:v>backup</x:v>
      </x:c>
      <x:c r="I10" s="40" t="str"/>
      <x:c r="J10" s="40" t="str"/>
      <x:c r="K10" s="42"/>
      <x:c r="L10" s="46" t="str">
        <x:f>IF(A10="","",IF(OR(C10="Done",F10=""),"No",IF(F10&lt;START_HERE!$B$7,"Yes","No")))</x:f>
        <x:v>No</x:v>
      </x:c>
      <x:c r="M10" s="46" t="str">
        <x:f>IF(A10="","",IF(C10="Done","No",IF(G10="","Unknown",IF(G10&lt;=START_HERE!$B$7-START_HERE!$B$8,"Yes","No"))))</x:f>
        <x:v>No</x:v>
      </x:c>
      <x:c r="N10" s="46" t="str">
        <x:f>IF(A10="","",IF(ISNUMBER(SEARCH("stale-simulated",H10)),"Yes","No"))</x:f>
        <x:v>No</x:v>
      </x:c>
      <x:c r="O10" s="50" t="n">
        <x:f>IF(A10="","",IF(OR(C10="Done",F10=""),0,MAX(0,START_HERE!$B$7-F10)))</x:f>
        <x:v>0</x:v>
      </x:c>
      <x:c r="P10" s="46" t="str">
        <x:f>IF(A10="","",IF(E10="","Missing owner","OK"))</x:f>
        <x:v>OK</x:v>
      </x:c>
      <x:c r="Q10" s="48" t="str">
        <x:v>Jira.csv verified</x:v>
      </x:c>
    </x:row>
    <x:row r="11" ht="31" customHeight="1">
      <x:c r="A11" s="40" t="str">
        <x:v>IDBO-7</x:v>
      </x:c>
      <x:c r="B11" s="41" t="str">
        <x:v>Validate access review evidence</x:v>
      </x:c>
      <x:c r="C11" s="40" t="str">
        <x:v>In Progress</x:v>
      </x:c>
      <x:c r="D11" s="40" t="str">
        <x:v>Medium</x:v>
      </x:c>
      <x:c r="E11" s="40" t="str">
        <x:v>Project Owner (anonymized)</x:v>
      </x:c>
      <x:c r="F11" s="42" t="n">
        <x:v>46329</x:v>
      </x:c>
      <x:c r="G11" s="75" t="n">
        <x:v>46325.47777777778</x:v>
      </x:c>
      <x:c r="H11" s="40" t="str">
        <x:v>governance</x:v>
      </x:c>
      <x:c r="I11" s="40" t="str"/>
      <x:c r="J11" s="40" t="str"/>
      <x:c r="K11" s="42"/>
      <x:c r="L11" s="46" t="str">
        <x:f>IF(A11="","",IF(OR(C11="Done",F11=""),"No",IF(F11&lt;START_HERE!$B$7,"Yes","No")))</x:f>
        <x:v>No</x:v>
      </x:c>
      <x:c r="M11" s="46" t="str">
        <x:f>IF(A11="","",IF(C11="Done","No",IF(G11="","Unknown",IF(G11&lt;=START_HERE!$B$7-START_HERE!$B$8,"Yes","No"))))</x:f>
        <x:v>No</x:v>
      </x:c>
      <x:c r="N11" s="46" t="str">
        <x:f>IF(A11="","",IF(ISNUMBER(SEARCH("stale-simulated",H11)),"Yes","No"))</x:f>
        <x:v>No</x:v>
      </x:c>
      <x:c r="O11" s="50" t="n">
        <x:f>IF(A11="","",IF(OR(C11="Done",F11=""),0,MAX(0,START_HERE!$B$7-F11)))</x:f>
        <x:v>0</x:v>
      </x:c>
      <x:c r="P11" s="46" t="str">
        <x:f>IF(A11="","",IF(E11="","Missing owner","OK"))</x:f>
        <x:v>OK</x:v>
      </x:c>
      <x:c r="Q11" s="48" t="str">
        <x:v>Jira.csv verified</x:v>
      </x:c>
    </x:row>
    <x:row r="12" ht="31" customHeight="1">
      <x:c r="A12" s="40" t="str">
        <x:v>IDBO-8</x:v>
      </x:c>
      <x:c r="B12" s="41" t="str">
        <x:v>Confirm patch rollout schedule</x:v>
      </x:c>
      <x:c r="C12" s="40" t="str">
        <x:v>In Progress</x:v>
      </x:c>
      <x:c r="D12" s="40" t="str">
        <x:v>Medium</x:v>
      </x:c>
      <x:c r="E12" s="40" t="str">
        <x:v>Project Owner (anonymized)</x:v>
      </x:c>
      <x:c r="F12" s="42" t="n">
        <x:v>46324</x:v>
      </x:c>
      <x:c r="G12" s="75" t="n">
        <x:v>46325.47777777778</x:v>
      </x:c>
      <x:c r="H12" s="40" t="str">
        <x:v>security</x:v>
      </x:c>
      <x:c r="I12" s="40" t="str"/>
      <x:c r="J12" s="40" t="str"/>
      <x:c r="K12" s="42"/>
      <x:c r="L12" s="46" t="str">
        <x:f>IF(A12="","",IF(OR(C12="Done",F12=""),"No",IF(F12&lt;START_HERE!$B$7,"Yes","No")))</x:f>
        <x:v>Yes</x:v>
      </x:c>
      <x:c r="M12" s="46" t="str">
        <x:f>IF(A12="","",IF(C12="Done","No",IF(G12="","Unknown",IF(G12&lt;=START_HERE!$B$7-START_HERE!$B$8,"Yes","No"))))</x:f>
        <x:v>No</x:v>
      </x:c>
      <x:c r="N12" s="46" t="str">
        <x:f>IF(A12="","",IF(ISNUMBER(SEARCH("stale-simulated",H12)),"Yes","No"))</x:f>
        <x:v>No</x:v>
      </x:c>
      <x:c r="O12" s="50" t="n">
        <x:f>IF(A12="","",IF(OR(C12="Done",F12=""),0,MAX(0,START_HERE!$B$7-F12)))</x:f>
        <x:v>1</x:v>
      </x:c>
      <x:c r="P12" s="46" t="str">
        <x:f>IF(A12="","",IF(E12="","Missing owner","OK"))</x:f>
        <x:v>OK</x:v>
      </x:c>
      <x:c r="Q12" s="48" t="str">
        <x:v>Jira.csv verified; simulated due date precedes creation</x:v>
      </x:c>
    </x:row>
    <x:row r="13" ht="31" customHeight="1">
      <x:c r="A13" s="40" t="str">
        <x:v>IDBO-9</x:v>
      </x:c>
      <x:c r="B13" s="41" t="str">
        <x:v>Refresh disaster recovery contact list</x:v>
      </x:c>
      <x:c r="C13" s="40" t="str">
        <x:v>In Progress</x:v>
      </x:c>
      <x:c r="D13" s="40" t="str">
        <x:v>Low</x:v>
      </x:c>
      <x:c r="E13" s="40" t="str">
        <x:v>Project Owner (anonymized)</x:v>
      </x:c>
      <x:c r="F13" s="42" t="n">
        <x:v>46331</x:v>
      </x:c>
      <x:c r="G13" s="75" t="n">
        <x:v>46325.47777777778</x:v>
      </x:c>
      <x:c r="H13" s="40" t="str">
        <x:v>documentation, stale-simulated</x:v>
      </x:c>
      <x:c r="I13" s="40" t="str"/>
      <x:c r="J13" s="40" t="str"/>
      <x:c r="K13" s="42"/>
      <x:c r="L13" s="46" t="str">
        <x:f>IF(A13="","",IF(OR(C13="Done",F13=""),"No",IF(F13&lt;START_HERE!$B$7,"Yes","No")))</x:f>
        <x:v>No</x:v>
      </x:c>
      <x:c r="M13" s="46" t="str">
        <x:f>IF(A13="","",IF(C13="Done","No",IF(G13="","Unknown",IF(G13&lt;=START_HERE!$B$7-START_HERE!$B$8,"Yes","No"))))</x:f>
        <x:v>No</x:v>
      </x:c>
      <x:c r="N13" s="46" t="str">
        <x:f>IF(A13="","",IF(ISNUMBER(SEARCH("stale-simulated",H13)),"Yes","No"))</x:f>
        <x:v>Yes</x:v>
      </x:c>
      <x:c r="O13" s="50" t="n">
        <x:f>IF(A13="","",IF(OR(C13="Done",F13=""),0,MAX(0,START_HERE!$B$7-F13)))</x:f>
        <x:v>0</x:v>
      </x:c>
      <x:c r="P13" s="46" t="str">
        <x:f>IF(A13="","",IF(E13="","Missing owner","OK"))</x:f>
        <x:v>OK</x:v>
      </x:c>
      <x:c r="Q13" s="48" t="str">
        <x:v>Jira.csv verified</x:v>
      </x:c>
    </x:row>
    <x:row r="14" ht="31" customHeight="1">
      <x:c r="A14" s="40" t="str">
        <x:v>IDBO-10</x:v>
      </x:c>
      <x:c r="B14" s="41" t="str">
        <x:v>Assess stale service account inventory</x:v>
      </x:c>
      <x:c r="C14" s="40" t="str">
        <x:v>In Progress</x:v>
      </x:c>
      <x:c r="D14" s="40" t="str">
        <x:v>High</x:v>
      </x:c>
      <x:c r="E14" s="40" t="str">
        <x:v>Project Owner (anonymized)</x:v>
      </x:c>
      <x:c r="F14" s="42" t="n">
        <x:v>46321</x:v>
      </x:c>
      <x:c r="G14" s="75" t="n">
        <x:v>46325.47777777778</x:v>
      </x:c>
      <x:c r="H14" s="40" t="str">
        <x:v>security</x:v>
      </x:c>
      <x:c r="I14" s="40" t="str"/>
      <x:c r="J14" s="40" t="str"/>
      <x:c r="K14" s="42"/>
      <x:c r="L14" s="46" t="str">
        <x:f>IF(A14="","",IF(OR(C14="Done",F14=""),"No",IF(F14&lt;START_HERE!$B$7,"Yes","No")))</x:f>
        <x:v>Yes</x:v>
      </x:c>
      <x:c r="M14" s="46" t="str">
        <x:f>IF(A14="","",IF(C14="Done","No",IF(G14="","Unknown",IF(G14&lt;=START_HERE!$B$7-START_HERE!$B$8,"Yes","No"))))</x:f>
        <x:v>No</x:v>
      </x:c>
      <x:c r="N14" s="46" t="str">
        <x:f>IF(A14="","",IF(ISNUMBER(SEARCH("stale-simulated",H14)),"Yes","No"))</x:f>
        <x:v>No</x:v>
      </x:c>
      <x:c r="O14" s="50" t="n">
        <x:f>IF(A14="","",IF(OR(C14="Done",F14=""),0,MAX(0,START_HERE!$B$7-F14)))</x:f>
        <x:v>4</x:v>
      </x:c>
      <x:c r="P14" s="46" t="str">
        <x:f>IF(A14="","",IF(E14="","Missing owner","OK"))</x:f>
        <x:v>OK</x:v>
      </x:c>
      <x:c r="Q14" s="48" t="str">
        <x:v>Jira.csv verified; simulated due date precedes creation</x:v>
      </x:c>
    </x:row>
    <x:row r="15" ht="31" customHeight="1">
      <x:c r="A15" s="40" t="str">
        <x:v>IDBO-11</x:v>
      </x:c>
      <x:c r="B15" s="41" t="str">
        <x:v>Investigate batch payment processing delay</x:v>
      </x:c>
      <x:c r="C15" s="40" t="str">
        <x:v>In Progress</x:v>
      </x:c>
      <x:c r="D15" s="40" t="str">
        <x:v>Highest</x:v>
      </x:c>
      <x:c r="E15" s="40" t="str">
        <x:v>Project Owner (anonymized)</x:v>
      </x:c>
      <x:c r="F15" s="42" t="n">
        <x:v>46324</x:v>
      </x:c>
      <x:c r="G15" s="75" t="n">
        <x:v>46325.47777777778</x:v>
      </x:c>
      <x:c r="H15" s="40" t="str">
        <x:v>incident</x:v>
      </x:c>
      <x:c r="I15" s="40" t="str"/>
      <x:c r="J15" s="40" t="str"/>
      <x:c r="K15" s="42"/>
      <x:c r="L15" s="46" t="str">
        <x:f>IF(A15="","",IF(OR(C15="Done",F15=""),"No",IF(F15&lt;START_HERE!$B$7,"Yes","No")))</x:f>
        <x:v>Yes</x:v>
      </x:c>
      <x:c r="M15" s="46" t="str">
        <x:f>IF(A15="","",IF(C15="Done","No",IF(G15="","Unknown",IF(G15&lt;=START_HERE!$B$7-START_HERE!$B$8,"Yes","No"))))</x:f>
        <x:v>No</x:v>
      </x:c>
      <x:c r="N15" s="46" t="str">
        <x:f>IF(A15="","",IF(ISNUMBER(SEARCH("stale-simulated",H15)),"Yes","No"))</x:f>
        <x:v>No</x:v>
      </x:c>
      <x:c r="O15" s="50" t="n">
        <x:f>IF(A15="","",IF(OR(C15="Done",F15=""),0,MAX(0,START_HERE!$B$7-F15)))</x:f>
        <x:v>1</x:v>
      </x:c>
      <x:c r="P15" s="46" t="str">
        <x:f>IF(A15="","",IF(E15="","Missing owner","OK"))</x:f>
        <x:v>OK</x:v>
      </x:c>
      <x:c r="Q15" s="48" t="str">
        <x:v>Jira.csv verified; simulated due date precedes creation</x:v>
      </x:c>
    </x:row>
    <x:row r="16" ht="31" customHeight="1">
      <x:c r="A16" s="40" t="str">
        <x:v>IDBO-12</x:v>
      </x:c>
      <x:c r="B16" s="41" t="str">
        <x:v>Coordinate UAT sign-off for mobile release</x:v>
      </x:c>
      <x:c r="C16" s="40" t="str">
        <x:v>Blocked</x:v>
      </x:c>
      <x:c r="D16" s="40" t="str">
        <x:v>High</x:v>
      </x:c>
      <x:c r="E16" s="40" t="str">
        <x:v>Project Owner (anonymized)</x:v>
      </x:c>
      <x:c r="F16" s="42" t="n">
        <x:v>46329</x:v>
      </x:c>
      <x:c r="G16" s="75" t="n">
        <x:v>46325.48125</x:v>
      </x:c>
      <x:c r="H16" s="40" t="str">
        <x:v>release</x:v>
      </x:c>
      <x:c r="I16" s="40" t="str">
        <x:v>Business UAT Lead</x:v>
      </x:c>
      <x:c r="J16" s="40" t="str">
        <x:v>Obtain UAT sign-off / outstanding defects</x:v>
      </x:c>
      <x:c r="K16" s="42" t="n">
        <x:v>46328</x:v>
      </x:c>
      <x:c r="L16" s="46" t="str">
        <x:f>IF(A16="","",IF(OR(C16="Done",F16=""),"No",IF(F16&lt;START_HERE!$B$7,"Yes","No")))</x:f>
        <x:v>No</x:v>
      </x:c>
      <x:c r="M16" s="46" t="str">
        <x:f>IF(A16="","",IF(C16="Done","No",IF(G16="","Unknown",IF(G16&lt;=START_HERE!$B$7-START_HERE!$B$8,"Yes","No"))))</x:f>
        <x:v>No</x:v>
      </x:c>
      <x:c r="N16" s="46" t="str">
        <x:f>IF(A16="","",IF(ISNUMBER(SEARCH("stale-simulated",H16)),"Yes","No"))</x:f>
        <x:v>No</x:v>
      </x:c>
      <x:c r="O16" s="50" t="n">
        <x:f>IF(A16="","",IF(OR(C16="Done",F16=""),0,MAX(0,START_HERE!$B$7-F16)))</x:f>
        <x:v>0</x:v>
      </x:c>
      <x:c r="P16" s="46" t="str">
        <x:f>IF(A16="","",IF(E16="","Missing owner","OK"))</x:f>
        <x:v>OK</x:v>
      </x:c>
      <x:c r="Q16" s="48" t="str">
        <x:v>Jira.csv verified</x:v>
      </x:c>
    </x:row>
    <x:row r="17" ht="31" customHeight="1">
      <x:c r="A17" s="40" t="str">
        <x:v>IDBO-13</x:v>
      </x:c>
      <x:c r="B17" s="41" t="str">
        <x:v>Update change management tracker</x:v>
      </x:c>
      <x:c r="C17" s="40" t="str">
        <x:v>Blocked</x:v>
      </x:c>
      <x:c r="D17" s="40" t="str">
        <x:v>Medium</x:v>
      </x:c>
      <x:c r="E17" s="40" t="str">
        <x:v>Project Owner (anonymized)</x:v>
      </x:c>
      <x:c r="F17" s="42" t="n">
        <x:v>46325</x:v>
      </x:c>
      <x:c r="G17" s="75" t="n">
        <x:v>46325.48125</x:v>
      </x:c>
      <x:c r="H17" s="40" t="str">
        <x:v>change</x:v>
      </x:c>
      <x:c r="I17" s="40" t="str">
        <x:v>Change Management Team</x:v>
      </x:c>
      <x:c r="J17" s="40" t="str">
        <x:v>Confirm missing change details; escalate deadline risk</x:v>
      </x:c>
      <x:c r="K17" s="42" t="n">
        <x:v>46325</x:v>
      </x:c>
      <x:c r="L17" s="46" t="str">
        <x:f>IF(A17="","",IF(OR(C17="Done",F17=""),"No",IF(F17&lt;START_HERE!$B$7,"Yes","No")))</x:f>
        <x:v>No</x:v>
      </x:c>
      <x:c r="M17" s="46" t="str">
        <x:f>IF(A17="","",IF(C17="Done","No",IF(G17="","Unknown",IF(G17&lt;=START_HERE!$B$7-START_HERE!$B$8,"Yes","No"))))</x:f>
        <x:v>No</x:v>
      </x:c>
      <x:c r="N17" s="46" t="str">
        <x:f>IF(A17="","",IF(ISNUMBER(SEARCH("stale-simulated",H17)),"Yes","No"))</x:f>
        <x:v>No</x:v>
      </x:c>
      <x:c r="O17" s="50" t="n">
        <x:f>IF(A17="","",IF(OR(C17="Done",F17=""),0,MAX(0,START_HERE!$B$7-F17)))</x:f>
        <x:v>0</x:v>
      </x:c>
      <x:c r="P17" s="46" t="str">
        <x:f>IF(A17="","",IF(E17="","Missing owner","OK"))</x:f>
        <x:v>OK</x:v>
      </x:c>
      <x:c r="Q17" s="48" t="str">
        <x:v>Jira.csv verified</x:v>
      </x:c>
    </x:row>
    <x:row r="18" ht="31" customHeight="1">
      <x:c r="A18" s="40" t="str">
        <x:v>IDBO-14</x:v>
      </x:c>
      <x:c r="B18" s="41" t="str">
        <x:v>Review monitoring alert noise</x:v>
      </x:c>
      <x:c r="C18" s="40" t="str">
        <x:v>Blocked</x:v>
      </x:c>
      <x:c r="D18" s="40" t="str">
        <x:v>Medium</x:v>
      </x:c>
      <x:c r="E18" s="40" t="str">
        <x:v>Project Owner (anonymized)</x:v>
      </x:c>
      <x:c r="F18" s="42" t="n">
        <x:v>46330</x:v>
      </x:c>
      <x:c r="G18" s="75" t="n">
        <x:v>46325.48125</x:v>
      </x:c>
      <x:c r="H18" s="40" t="str">
        <x:v>monitoring, stale-simulated</x:v>
      </x:c>
      <x:c r="I18" s="40" t="str">
        <x:v>Monitoring / SRE Team</x:v>
      </x:c>
      <x:c r="J18" s="40" t="str">
        <x:v>Request monitoring history and alert thresholds</x:v>
      </x:c>
      <x:c r="K18" s="42" t="n">
        <x:v>46328</x:v>
      </x:c>
      <x:c r="L18" s="46" t="str">
        <x:f>IF(A18="","",IF(OR(C18="Done",F18=""),"No",IF(F18&lt;START_HERE!$B$7,"Yes","No")))</x:f>
        <x:v>No</x:v>
      </x:c>
      <x:c r="M18" s="46" t="str">
        <x:f>IF(A18="","",IF(C18="Done","No",IF(G18="","Unknown",IF(G18&lt;=START_HERE!$B$7-START_HERE!$B$8,"Yes","No"))))</x:f>
        <x:v>No</x:v>
      </x:c>
      <x:c r="N18" s="46" t="str">
        <x:f>IF(A18="","",IF(ISNUMBER(SEARCH("stale-simulated",H18)),"Yes","No"))</x:f>
        <x:v>Yes</x:v>
      </x:c>
      <x:c r="O18" s="50" t="n">
        <x:f>IF(A18="","",IF(OR(C18="Done",F18=""),0,MAX(0,START_HERE!$B$7-F18)))</x:f>
        <x:v>0</x:v>
      </x:c>
      <x:c r="P18" s="46" t="str">
        <x:f>IF(A18="","",IF(E18="","Missing owner","OK"))</x:f>
        <x:v>OK</x:v>
      </x:c>
      <x:c r="Q18" s="48" t="str">
        <x:v>Jira.csv verified</x:v>
      </x:c>
    </x:row>
    <x:row r="19" ht="31" customHeight="1">
      <x:c r="A19" s="40" t="str">
        <x:v>IDBO-15</x:v>
      </x:c>
      <x:c r="B19" s="41" t="str">
        <x:v>Validate production release checklist</x:v>
      </x:c>
      <x:c r="C19" s="40" t="str">
        <x:v>Done</x:v>
      </x:c>
      <x:c r="D19" s="40" t="str">
        <x:v>High</x:v>
      </x:c>
      <x:c r="E19" s="40" t="str">
        <x:v>Project Owner (anonymized)</x:v>
      </x:c>
      <x:c r="F19" s="42" t="n">
        <x:v>46323</x:v>
      </x:c>
      <x:c r="G19" s="75" t="n">
        <x:v>46325.47777777778</x:v>
      </x:c>
      <x:c r="H19" s="40" t="str">
        <x:v>release</x:v>
      </x:c>
      <x:c r="I19" s="40" t="str"/>
      <x:c r="J19" s="40" t="str"/>
      <x:c r="K19" s="42"/>
      <x:c r="L19" s="46" t="str">
        <x:f>IF(A19="","",IF(OR(C19="Done",F19=""),"No",IF(F19&lt;START_HERE!$B$7,"Yes","No")))</x:f>
        <x:v>No</x:v>
      </x:c>
      <x:c r="M19" s="46" t="str">
        <x:f>IF(A19="","",IF(C19="Done","No",IF(G19="","Unknown",IF(G19&lt;=START_HERE!$B$7-START_HERE!$B$8,"Yes","No"))))</x:f>
        <x:v>No</x:v>
      </x:c>
      <x:c r="N19" s="46" t="str">
        <x:f>IF(A19="","",IF(ISNUMBER(SEARCH("stale-simulated",H19)),"Yes","No"))</x:f>
        <x:v>No</x:v>
      </x:c>
      <x:c r="O19" s="50" t="n">
        <x:f>IF(A19="","",IF(OR(C19="Done",F19=""),0,MAX(0,START_HERE!$B$7-F19)))</x:f>
        <x:v>0</x:v>
      </x:c>
      <x:c r="P19" s="46" t="str">
        <x:f>IF(A19="","",IF(E19="","Missing owner","OK"))</x:f>
        <x:v>OK</x:v>
      </x:c>
      <x:c r="Q19" s="48" t="str">
        <x:v>Jira.csv verified; simulated due date precedes creation</x:v>
      </x:c>
    </x:row>
    <x:row r="20" ht="31" customHeight="1">
      <x:c r="A20" s="40" t="str">
        <x:v>IDBO-16</x:v>
      </x:c>
      <x:c r="B20" s="41" t="str">
        <x:v>Prepare access recertification summary</x:v>
      </x:c>
      <x:c r="C20" s="40" t="str">
        <x:v>Done</x:v>
      </x:c>
      <x:c r="D20" s="40" t="str">
        <x:v>Medium</x:v>
      </x:c>
      <x:c r="E20" s="40" t="str">
        <x:v>Project Owner (anonymized)</x:v>
      </x:c>
      <x:c r="F20" s="42" t="n">
        <x:v>46328</x:v>
      </x:c>
      <x:c r="G20" s="75" t="n">
        <x:v>46325.47777777778</x:v>
      </x:c>
      <x:c r="H20" s="40" t="str">
        <x:v>risk</x:v>
      </x:c>
      <x:c r="I20" s="40" t="str"/>
      <x:c r="J20" s="40" t="str"/>
      <x:c r="K20" s="42"/>
      <x:c r="L20" s="46" t="str">
        <x:f>IF(A20="","",IF(OR(C20="Done",F20=""),"No",IF(F20&lt;START_HERE!$B$7,"Yes","No")))</x:f>
        <x:v>No</x:v>
      </x:c>
      <x:c r="M20" s="46" t="str">
        <x:f>IF(A20="","",IF(C20="Done","No",IF(G20="","Unknown",IF(G20&lt;=START_HERE!$B$7-START_HERE!$B$8,"Yes","No"))))</x:f>
        <x:v>No</x:v>
      </x:c>
      <x:c r="N20" s="46" t="str">
        <x:f>IF(A20="","",IF(ISNUMBER(SEARCH("stale-simulated",H20)),"Yes","No"))</x:f>
        <x:v>No</x:v>
      </x:c>
      <x:c r="O20" s="50" t="n">
        <x:f>IF(A20="","",IF(OR(C20="Done",F20=""),0,MAX(0,START_HERE!$B$7-F20)))</x:f>
        <x:v>0</x:v>
      </x:c>
      <x:c r="P20" s="46" t="str">
        <x:f>IF(A20="","",IF(E20="","Missing owner","OK"))</x:f>
        <x:v>OK</x:v>
      </x:c>
      <x:c r="Q20" s="48" t="str">
        <x:v>Jira.csv verified</x:v>
      </x:c>
    </x:row>
    <x:row r="21" ht="31" customHeight="1">
      <x:c r="A21" s="40" t="str">
        <x:v>IDBO-17</x:v>
      </x:c>
      <x:c r="B21" s="41" t="str">
        <x:v>Confirm security log retention controls</x:v>
      </x:c>
      <x:c r="C21" s="40" t="str">
        <x:v>Done</x:v>
      </x:c>
      <x:c r="D21" s="40" t="str">
        <x:v>High</x:v>
      </x:c>
      <x:c r="E21" s="40" t="str">
        <x:v>Project Owner (anonymized)</x:v>
      </x:c>
      <x:c r="F21" s="42" t="n">
        <x:v>46323</x:v>
      </x:c>
      <x:c r="G21" s="75" t="n">
        <x:v>46325.47777777778</x:v>
      </x:c>
      <x:c r="H21" s="40" t="str">
        <x:v>risk</x:v>
      </x:c>
      <x:c r="I21" s="40" t="str"/>
      <x:c r="J21" s="40" t="str"/>
      <x:c r="K21" s="42"/>
      <x:c r="L21" s="46" t="str">
        <x:f>IF(A21="","",IF(OR(C21="Done",F21=""),"No",IF(F21&lt;START_HERE!$B$7,"Yes","No")))</x:f>
        <x:v>No</x:v>
      </x:c>
      <x:c r="M21" s="46" t="str">
        <x:f>IF(A21="","",IF(C21="Done","No",IF(G21="","Unknown",IF(G21&lt;=START_HERE!$B$7-START_HERE!$B$8,"Yes","No"))))</x:f>
        <x:v>No</x:v>
      </x:c>
      <x:c r="N21" s="46" t="str">
        <x:f>IF(A21="","",IF(ISNUMBER(SEARCH("stale-simulated",H21)),"Yes","No"))</x:f>
        <x:v>No</x:v>
      </x:c>
      <x:c r="O21" s="50" t="n">
        <x:f>IF(A21="","",IF(OR(C21="Done",F21=""),0,MAX(0,START_HERE!$B$7-F21)))</x:f>
        <x:v>0</x:v>
      </x:c>
      <x:c r="P21" s="46" t="str">
        <x:f>IF(A21="","",IF(E21="","Missing owner","OK"))</x:f>
        <x:v>OK</x:v>
      </x:c>
      <x:c r="Q21" s="48" t="str">
        <x:v>Jira.csv verified; simulated due date precedes creation</x:v>
      </x:c>
    </x:row>
    <x:row r="22" ht="31" customHeight="1">
      <x:c r="A22" s="40" t="str">
        <x:v>IDBO-18</x:v>
      </x:c>
      <x:c r="B22" s="41" t="str">
        <x:v>Resolve firewall approval dependency</x:v>
      </x:c>
      <x:c r="C22" s="40" t="str">
        <x:v>Done</x:v>
      </x:c>
      <x:c r="D22" s="40" t="str">
        <x:v>High</x:v>
      </x:c>
      <x:c r="E22" s="40" t="str">
        <x:v>Project Owner (anonymized)</x:v>
      </x:c>
      <x:c r="F22" s="42" t="n">
        <x:v>46322</x:v>
      </x:c>
      <x:c r="G22" s="75" t="n">
        <x:v>46325.47777777778</x:v>
      </x:c>
      <x:c r="H22" s="40" t="str">
        <x:v>change</x:v>
      </x:c>
      <x:c r="I22" s="40" t="str"/>
      <x:c r="J22" s="40" t="str"/>
      <x:c r="K22" s="42"/>
      <x:c r="L22" s="46" t="str">
        <x:f>IF(A22="","",IF(OR(C22="Done",F22=""),"No",IF(F22&lt;START_HERE!$B$7,"Yes","No")))</x:f>
        <x:v>No</x:v>
      </x:c>
      <x:c r="M22" s="46" t="str">
        <x:f>IF(A22="","",IF(C22="Done","No",IF(G22="","Unknown",IF(G22&lt;=START_HERE!$B$7-START_HERE!$B$8,"Yes","No"))))</x:f>
        <x:v>No</x:v>
      </x:c>
      <x:c r="N22" s="46" t="str">
        <x:f>IF(A22="","",IF(ISNUMBER(SEARCH("stale-simulated",H22)),"Yes","No"))</x:f>
        <x:v>No</x:v>
      </x:c>
      <x:c r="O22" s="50" t="n">
        <x:f>IF(A22="","",IF(OR(C22="Done",F22=""),0,MAX(0,START_HERE!$B$7-F22)))</x:f>
        <x:v>0</x:v>
      </x:c>
      <x:c r="P22" s="46" t="str">
        <x:f>IF(A22="","",IF(E22="","Missing owner","OK"))</x:f>
        <x:v>OK</x:v>
      </x:c>
      <x:c r="Q22" s="48" t="str">
        <x:v>Jira.csv verified; simulated due date precedes creation</x:v>
      </x:c>
    </x:row>
    <x:row r="23" ht="31" customHeight="1">
      <x:c r="A23" s="40" t="str">
        <x:v>IDBO-19</x:v>
      </x:c>
      <x:c r="B23" s="41" t="str">
        <x:v>Await vendor update on API gateway error</x:v>
      </x:c>
      <x:c r="C23" s="40" t="str">
        <x:v>Done</x:v>
      </x:c>
      <x:c r="D23" s="40" t="str">
        <x:v>High</x:v>
      </x:c>
      <x:c r="E23" s="40" t="str">
        <x:v>Project Owner (anonymized)</x:v>
      </x:c>
      <x:c r="F23" s="42" t="n">
        <x:v>46324</x:v>
      </x:c>
      <x:c r="G23" s="75" t="n">
        <x:v>46325.47777777778</x:v>
      </x:c>
      <x:c r="H23" s="40" t="str">
        <x:v>incident</x:v>
      </x:c>
      <x:c r="I23" s="40" t="str"/>
      <x:c r="J23" s="40" t="str"/>
      <x:c r="K23" s="42"/>
      <x:c r="L23" s="46" t="str">
        <x:f>IF(A23="","",IF(OR(C23="Done",F23=""),"No",IF(F23&lt;START_HERE!$B$7,"Yes","No")))</x:f>
        <x:v>No</x:v>
      </x:c>
      <x:c r="M23" s="46" t="str">
        <x:f>IF(A23="","",IF(C23="Done","No",IF(G23="","Unknown",IF(G23&lt;=START_HERE!$B$7-START_HERE!$B$8,"Yes","No"))))</x:f>
        <x:v>No</x:v>
      </x:c>
      <x:c r="N23" s="46" t="str">
        <x:f>IF(A23="","",IF(ISNUMBER(SEARCH("stale-simulated",H23)),"Yes","No"))</x:f>
        <x:v>No</x:v>
      </x:c>
      <x:c r="O23" s="50" t="n">
        <x:f>IF(A23="","",IF(OR(C23="Done",F23=""),0,MAX(0,START_HERE!$B$7-F23)))</x:f>
        <x:v>0</x:v>
      </x:c>
      <x:c r="P23" s="46" t="str">
        <x:f>IF(A23="","",IF(E23="","Missing owner","OK"))</x:f>
        <x:v>OK</x:v>
      </x:c>
      <x:c r="Q23" s="48" t="str">
        <x:v>Jira.csv verified; simulated due date precedes creation</x:v>
      </x:c>
    </x:row>
    <x:row r="24" ht="31" customHeight="1">
      <x:c r="A24" s="40" t="str">
        <x:v>IDBO-20</x:v>
      </x:c>
      <x:c r="B24" s="41" t="str">
        <x:v>Validate database patch in test environment</x:v>
      </x:c>
      <x:c r="C24" s="40" t="str">
        <x:v>Done</x:v>
      </x:c>
      <x:c r="D24" s="40" t="str">
        <x:v>Highest</x:v>
      </x:c>
      <x:c r="E24" s="40" t="str">
        <x:v>Project Owner (anonymized)</x:v>
      </x:c>
      <x:c r="F24" s="42" t="n">
        <x:v>46328</x:v>
      </x:c>
      <x:c r="G24" s="75" t="n">
        <x:v>46325.47777777778</x:v>
      </x:c>
      <x:c r="H24" s="40" t="str">
        <x:v>security</x:v>
      </x:c>
      <x:c r="I24" s="40" t="str"/>
      <x:c r="J24" s="40" t="str"/>
      <x:c r="K24" s="42"/>
      <x:c r="L24" s="46" t="str">
        <x:f>IF(A24="","",IF(OR(C24="Done",F24=""),"No",IF(F24&lt;START_HERE!$B$7,"Yes","No")))</x:f>
        <x:v>No</x:v>
      </x:c>
      <x:c r="M24" s="46" t="str">
        <x:f>IF(A24="","",IF(C24="Done","No",IF(G24="","Unknown",IF(G24&lt;=START_HERE!$B$7-START_HERE!$B$8,"Yes","No"))))</x:f>
        <x:v>No</x:v>
      </x:c>
      <x:c r="N24" s="46" t="str">
        <x:f>IF(A24="","",IF(ISNUMBER(SEARCH("stale-simulated",H24)),"Yes","No"))</x:f>
        <x:v>No</x:v>
      </x:c>
      <x:c r="O24" s="50" t="n">
        <x:f>IF(A24="","",IF(OR(C24="Done",F24=""),0,MAX(0,START_HERE!$B$7-F24)))</x:f>
        <x:v>0</x:v>
      </x:c>
      <x:c r="P24" s="46" t="str">
        <x:f>IF(A24="","",IF(E24="","Missing owner","OK"))</x:f>
        <x:v>OK</x:v>
      </x:c>
      <x:c r="Q24" s="48" t="str">
        <x:v>Jira.csv verified</x:v>
      </x:c>
    </x:row>
    <x:row r="25" ht="31" customHeight="1">
      <x:c r="A25" s="40" t="str">
        <x:v>IDBO-21</x:v>
      </x:c>
      <x:c r="B25" s="41" t="str">
        <x:v>Publish weekly change calendar</x:v>
      </x:c>
      <x:c r="C25" s="40" t="str">
        <x:v>To Do</x:v>
      </x:c>
      <x:c r="D25" s="40" t="str">
        <x:v>Low</x:v>
      </x:c>
      <x:c r="E25" s="40" t="str">
        <x:v>Project Owner (anonymized)</x:v>
      </x:c>
      <x:c r="F25" s="42" t="n">
        <x:v>46323</x:v>
      </x:c>
      <x:c r="G25" s="75" t="n">
        <x:v>46325.47777777778</x:v>
      </x:c>
      <x:c r="H25" s="40" t="str">
        <x:v>change</x:v>
      </x:c>
      <x:c r="I25" s="40" t="str"/>
      <x:c r="J25" s="40" t="str"/>
      <x:c r="K25" s="42"/>
      <x:c r="L25" s="46" t="str">
        <x:f>IF(A25="","",IF(OR(C25="Done",F25=""),"No",IF(F25&lt;START_HERE!$B$7,"Yes","No")))</x:f>
        <x:v>Yes</x:v>
      </x:c>
      <x:c r="M25" s="46" t="str">
        <x:f>IF(A25="","",IF(C25="Done","No",IF(G25="","Unknown",IF(G25&lt;=START_HERE!$B$7-START_HERE!$B$8,"Yes","No"))))</x:f>
        <x:v>No</x:v>
      </x:c>
      <x:c r="N25" s="46" t="str">
        <x:f>IF(A25="","",IF(ISNUMBER(SEARCH("stale-simulated",H25)),"Yes","No"))</x:f>
        <x:v>No</x:v>
      </x:c>
      <x:c r="O25" s="50" t="n">
        <x:f>IF(A25="","",IF(OR(C25="Done",F25=""),0,MAX(0,START_HERE!$B$7-F25)))</x:f>
        <x:v>2</x:v>
      </x:c>
      <x:c r="P25" s="46" t="str">
        <x:f>IF(A25="","",IF(E25="","Missing owner","OK"))</x:f>
        <x:v>OK</x:v>
      </x:c>
      <x:c r="Q25" s="48" t="str">
        <x:v>Jira.csv verified; simulated due date precedes creation</x:v>
      </x:c>
    </x:row>
    <x:row r="26" ht="31" customHeight="1">
      <x:c r="A26" s="40" t="str">
        <x:v>IDBO-22</x:v>
      </x:c>
      <x:c r="B26" s="41" t="str">
        <x:v>Close resolved authentication incident records</x:v>
      </x:c>
      <x:c r="C26" s="40" t="str">
        <x:v>To Do</x:v>
      </x:c>
      <x:c r="D26" s="40" t="str">
        <x:v>Medium</x:v>
      </x:c>
      <x:c r="E26" s="40" t="str">
        <x:v>Project Owner (anonymized)</x:v>
      </x:c>
      <x:c r="F26" s="42" t="n">
        <x:v>46322</x:v>
      </x:c>
      <x:c r="G26" s="75" t="n">
        <x:v>46325.47777777778</x:v>
      </x:c>
      <x:c r="H26" s="40" t="str">
        <x:v>incident</x:v>
      </x:c>
      <x:c r="I26" s="40" t="str"/>
      <x:c r="J26" s="40" t="str"/>
      <x:c r="K26" s="42"/>
      <x:c r="L26" s="46" t="str">
        <x:f>IF(A26="","",IF(OR(C26="Done",F26=""),"No",IF(F26&lt;START_HERE!$B$7,"Yes","No")))</x:f>
        <x:v>Yes</x:v>
      </x:c>
      <x:c r="M26" s="46" t="str">
        <x:f>IF(A26="","",IF(C26="Done","No",IF(G26="","Unknown",IF(G26&lt;=START_HERE!$B$7-START_HERE!$B$8,"Yes","No"))))</x:f>
        <x:v>No</x:v>
      </x:c>
      <x:c r="N26" s="46" t="str">
        <x:f>IF(A26="","",IF(ISNUMBER(SEARCH("stale-simulated",H26)),"Yes","No"))</x:f>
        <x:v>No</x:v>
      </x:c>
      <x:c r="O26" s="50" t="n">
        <x:f>IF(A26="","",IF(OR(C26="Done",F26=""),0,MAX(0,START_HERE!$B$7-F26)))</x:f>
        <x:v>3</x:v>
      </x:c>
      <x:c r="P26" s="46" t="str">
        <x:f>IF(A26="","",IF(E26="","Missing owner","OK"))</x:f>
        <x:v>OK</x:v>
      </x:c>
      <x:c r="Q26" s="48" t="str">
        <x:v>Jira.csv verified; simulated due date precedes creation</x:v>
      </x:c>
    </x:row>
    <x:row r="27" ht="31" customHeight="1">
      <x:c r="A27" s="40" t="str">
        <x:v>IDBO-23</x:v>
      </x:c>
      <x:c r="B27" s="41" t="str">
        <x:v>Update new joiner IT onboarding checklist</x:v>
      </x:c>
      <x:c r="C27" s="40" t="str">
        <x:v>To Do</x:v>
      </x:c>
      <x:c r="D27" s="40" t="str">
        <x:v>Low</x:v>
      </x:c>
      <x:c r="E27" s="40" t="str">
        <x:v>Project Owner (anonymized)</x:v>
      </x:c>
      <x:c r="F27" s="42" t="n">
        <x:v>46321</x:v>
      </x:c>
      <x:c r="G27" s="75" t="n">
        <x:v>46325.47777777778</x:v>
      </x:c>
      <x:c r="H27" s="40" t="str">
        <x:v>documentation</x:v>
      </x:c>
      <x:c r="I27" s="40" t="str"/>
      <x:c r="J27" s="40" t="str"/>
      <x:c r="K27" s="42"/>
      <x:c r="L27" s="46" t="str">
        <x:f>IF(A27="","",IF(OR(C27="Done",F27=""),"No",IF(F27&lt;START_HERE!$B$7,"Yes","No")))</x:f>
        <x:v>Yes</x:v>
      </x:c>
      <x:c r="M27" s="46" t="str">
        <x:f>IF(A27="","",IF(C27="Done","No",IF(G27="","Unknown",IF(G27&lt;=START_HERE!$B$7-START_HERE!$B$8,"Yes","No"))))</x:f>
        <x:v>No</x:v>
      </x:c>
      <x:c r="N27" s="46" t="str">
        <x:f>IF(A27="","",IF(ISNUMBER(SEARCH("stale-simulated",H27)),"Yes","No"))</x:f>
        <x:v>No</x:v>
      </x:c>
      <x:c r="O27" s="50" t="n">
        <x:f>IF(A27="","",IF(OR(C27="Done",F27=""),0,MAX(0,START_HERE!$B$7-F27)))</x:f>
        <x:v>4</x:v>
      </x:c>
      <x:c r="P27" s="46" t="str">
        <x:f>IF(A27="","",IF(E27="","Missing owner","OK"))</x:f>
        <x:v>OK</x:v>
      </x:c>
      <x:c r="Q27" s="48" t="str">
        <x:v>Jira.csv verified; simulated due date precedes creation</x:v>
      </x:c>
    </x:row>
    <x:row r="28" ht="31" customHeight="1">
      <x:c r="A28" s="40" t="str">
        <x:v>IDBO-24</x:v>
      </x:c>
      <x:c r="B28" s="41" t="str">
        <x:v>Reconcile duplicate monitoring notifications</x:v>
      </x:c>
      <x:c r="C28" s="40" t="str">
        <x:v>To Do</x:v>
      </x:c>
      <x:c r="D28" s="40" t="str">
        <x:v>Medium</x:v>
      </x:c>
      <x:c r="E28" s="40" t="str">
        <x:v>Project Owner (anonymized)</x:v>
      </x:c>
      <x:c r="F28" s="42" t="n">
        <x:v>46324</x:v>
      </x:c>
      <x:c r="G28" s="75" t="n">
        <x:v>46325.47777777778</x:v>
      </x:c>
      <x:c r="H28" s="40" t="str">
        <x:v>monitoring</x:v>
      </x:c>
      <x:c r="I28" s="40" t="str"/>
      <x:c r="J28" s="40" t="str"/>
      <x:c r="K28" s="42"/>
      <x:c r="L28" s="46" t="str">
        <x:f>IF(A28="","",IF(OR(C28="Done",F28=""),"No",IF(F28&lt;START_HERE!$B$7,"Yes","No")))</x:f>
        <x:v>Yes</x:v>
      </x:c>
      <x:c r="M28" s="46" t="str">
        <x:f>IF(A28="","",IF(C28="Done","No",IF(G28="","Unknown",IF(G28&lt;=START_HERE!$B$7-START_HERE!$B$8,"Yes","No"))))</x:f>
        <x:v>No</x:v>
      </x:c>
      <x:c r="N28" s="46" t="str">
        <x:f>IF(A28="","",IF(ISNUMBER(SEARCH("stale-simulated",H28)),"Yes","No"))</x:f>
        <x:v>No</x:v>
      </x:c>
      <x:c r="O28" s="50" t="n">
        <x:f>IF(A28="","",IF(OR(C28="Done",F28=""),0,MAX(0,START_HERE!$B$7-F28)))</x:f>
        <x:v>1</x:v>
      </x:c>
      <x:c r="P28" s="46" t="str">
        <x:f>IF(A28="","",IF(E28="","Missing owner","OK"))</x:f>
        <x:v>OK</x:v>
      </x:c>
      <x:c r="Q28" s="48" t="str">
        <x:v>Jira.csv verified; simulated due date precedes creation</x:v>
      </x:c>
    </x:row>
    <x:row r="29" ht="31" customHeight="1">
      <x:c r="A29" s="40" t="str">
        <x:v>IDBO-25</x:v>
      </x:c>
      <x:c r="B29" s="41" t="str">
        <x:v>Archive completed release evidence</x:v>
      </x:c>
      <x:c r="C29" s="40" t="str">
        <x:v>To Do</x:v>
      </x:c>
      <x:c r="D29" s="40" t="str">
        <x:v>Low</x:v>
      </x:c>
      <x:c r="E29" s="40" t="str">
        <x:v>Project Owner (anonymized)</x:v>
      </x:c>
      <x:c r="F29" s="42" t="n">
        <x:v>46322</x:v>
      </x:c>
      <x:c r="G29" s="75" t="n">
        <x:v>46325.47777777778</x:v>
      </x:c>
      <x:c r="H29" s="40" t="str">
        <x:v>release</x:v>
      </x:c>
      <x:c r="I29" s="40" t="str"/>
      <x:c r="J29" s="40" t="str"/>
      <x:c r="K29" s="42"/>
      <x:c r="L29" s="46" t="str">
        <x:f>IF(A29="","",IF(OR(C29="Done",F29=""),"No",IF(F29&lt;START_HERE!$B$7,"Yes","No")))</x:f>
        <x:v>Yes</x:v>
      </x:c>
      <x:c r="M29" s="46" t="str">
        <x:f>IF(A29="","",IF(C29="Done","No",IF(G29="","Unknown",IF(G29&lt;=START_HERE!$B$7-START_HERE!$B$8,"Yes","No"))))</x:f>
        <x:v>No</x:v>
      </x:c>
      <x:c r="N29" s="46" t="str">
        <x:f>IF(A29="","",IF(ISNUMBER(SEARCH("stale-simulated",H29)),"Yes","No"))</x:f>
        <x:v>No</x:v>
      </x:c>
      <x:c r="O29" s="50" t="n">
        <x:f>IF(A29="","",IF(OR(C29="Done",F29=""),0,MAX(0,START_HERE!$B$7-F29)))</x:f>
        <x:v>3</x:v>
      </x:c>
      <x:c r="P29" s="46" t="str">
        <x:f>IF(A29="","",IF(E29="","Missing owner","OK"))</x:f>
        <x:v>OK</x:v>
      </x:c>
      <x:c r="Q29" s="48" t="str">
        <x:v>Jira.csv verified; simulated due date precedes creation</x:v>
      </x:c>
    </x:row>
    <x:row r="30">
      <x:c r="L30" t="str">
        <x:f>IF(A30="","",IF(OR(C30="Done",F30=""),"No",IF(F30&lt;START_HERE!$B$7,"Yes","No")))</x:f>
      </x:c>
      <x:c r="M30" t="str">
        <x:f>IF(A30="","",IF(C30="Done","No",IF(G30="","Unknown",IF(G30&lt;=START_HERE!$B$7-START_HERE!$B$8,"Yes","No"))))</x:f>
      </x:c>
      <x:c r="N30" t="str">
        <x:f>IF(A30="","",IF(ISNUMBER(SEARCH("stale-simulated",H30)),"Yes","No"))</x:f>
      </x:c>
      <x:c r="O30" s="51" t="str">
        <x:f>IF(A30="","",IF(OR(C30="Done",F30=""),0,MAX(0,START_HERE!$B$7-F30)))</x:f>
      </x:c>
      <x:c r="P30" t="str">
        <x:f>IF(A30="","",IF(E30="","Missing owner","OK"))</x:f>
      </x:c>
    </x:row>
    <x:row r="31">
      <x:c r="L31" t="str">
        <x:f>IF(A31="","",IF(OR(C31="Done",F31=""),"No",IF(F31&lt;START_HERE!$B$7,"Yes","No")))</x:f>
      </x:c>
      <x:c r="M31" t="str">
        <x:f>IF(A31="","",IF(C31="Done","No",IF(G31="","Unknown",IF(G31&lt;=START_HERE!$B$7-START_HERE!$B$8,"Yes","No"))))</x:f>
      </x:c>
      <x:c r="N31" t="str">
        <x:f>IF(A31="","",IF(ISNUMBER(SEARCH("stale-simulated",H31)),"Yes","No"))</x:f>
      </x:c>
      <x:c r="O31" s="51" t="str">
        <x:f>IF(A31="","",IF(OR(C31="Done",F31=""),0,MAX(0,START_HERE!$B$7-F31)))</x:f>
      </x:c>
      <x:c r="P31" t="str">
        <x:f>IF(A31="","",IF(E31="","Missing owner","OK"))</x:f>
      </x:c>
    </x:row>
    <x:row r="32">
      <x:c r="L32" t="str">
        <x:f>IF(A32="","",IF(OR(C32="Done",F32=""),"No",IF(F32&lt;START_HERE!$B$7,"Yes","No")))</x:f>
      </x:c>
      <x:c r="M32" t="str">
        <x:f>IF(A32="","",IF(C32="Done","No",IF(G32="","Unknown",IF(G32&lt;=START_HERE!$B$7-START_HERE!$B$8,"Yes","No"))))</x:f>
      </x:c>
      <x:c r="N32" t="str">
        <x:f>IF(A32="","",IF(ISNUMBER(SEARCH("stale-simulated",H32)),"Yes","No"))</x:f>
      </x:c>
      <x:c r="O32" s="51" t="str">
        <x:f>IF(A32="","",IF(OR(C32="Done",F32=""),0,MAX(0,START_HERE!$B$7-F32)))</x:f>
      </x:c>
      <x:c r="P32" t="str">
        <x:f>IF(A32="","",IF(E32="","Missing owner","OK"))</x:f>
      </x:c>
    </x:row>
    <x:row r="33">
      <x:c r="L33" t="str">
        <x:f>IF(A33="","",IF(OR(C33="Done",F33=""),"No",IF(F33&lt;START_HERE!$B$7,"Yes","No")))</x:f>
      </x:c>
      <x:c r="M33" t="str">
        <x:f>IF(A33="","",IF(C33="Done","No",IF(G33="","Unknown",IF(G33&lt;=START_HERE!$B$7-START_HERE!$B$8,"Yes","No"))))</x:f>
      </x:c>
      <x:c r="N33" t="str">
        <x:f>IF(A33="","",IF(ISNUMBER(SEARCH("stale-simulated",H33)),"Yes","No"))</x:f>
      </x:c>
      <x:c r="O33" s="51" t="str">
        <x:f>IF(A33="","",IF(OR(C33="Done",F33=""),0,MAX(0,START_HERE!$B$7-F33)))</x:f>
      </x:c>
      <x:c r="P33" t="str">
        <x:f>IF(A33="","",IF(E33="","Missing owner","OK"))</x:f>
      </x:c>
    </x:row>
    <x:row r="34">
      <x:c r="L34" t="str">
        <x:f>IF(A34="","",IF(OR(C34="Done",F34=""),"No",IF(F34&lt;START_HERE!$B$7,"Yes","No")))</x:f>
      </x:c>
      <x:c r="M34" t="str">
        <x:f>IF(A34="","",IF(C34="Done","No",IF(G34="","Unknown",IF(G34&lt;=START_HERE!$B$7-START_HERE!$B$8,"Yes","No"))))</x:f>
      </x:c>
      <x:c r="N34" t="str">
        <x:f>IF(A34="","",IF(ISNUMBER(SEARCH("stale-simulated",H34)),"Yes","No"))</x:f>
      </x:c>
      <x:c r="O34" s="51" t="str">
        <x:f>IF(A34="","",IF(OR(C34="Done",F34=""),0,MAX(0,START_HERE!$B$7-F34)))</x:f>
      </x:c>
      <x:c r="P34" t="str">
        <x:f>IF(A34="","",IF(E34="","Missing owner","OK"))</x:f>
      </x:c>
    </x:row>
    <x:row r="35">
      <x:c r="L35" t="str">
        <x:f>IF(A35="","",IF(OR(C35="Done",F35=""),"No",IF(F35&lt;START_HERE!$B$7,"Yes","No")))</x:f>
      </x:c>
      <x:c r="M35" t="str">
        <x:f>IF(A35="","",IF(C35="Done","No",IF(G35="","Unknown",IF(G35&lt;=START_HERE!$B$7-START_HERE!$B$8,"Yes","No"))))</x:f>
      </x:c>
      <x:c r="N35" t="str">
        <x:f>IF(A35="","",IF(ISNUMBER(SEARCH("stale-simulated",H35)),"Yes","No"))</x:f>
      </x:c>
      <x:c r="O35" s="51" t="str">
        <x:f>IF(A35="","",IF(OR(C35="Done",F35=""),0,MAX(0,START_HERE!$B$7-F35)))</x:f>
      </x:c>
      <x:c r="P35" t="str">
        <x:f>IF(A35="","",IF(E35="","Missing owner","OK"))</x:f>
      </x:c>
    </x:row>
    <x:row r="36">
      <x:c r="L36" t="str">
        <x:f>IF(A36="","",IF(OR(C36="Done",F36=""),"No",IF(F36&lt;START_HERE!$B$7,"Yes","No")))</x:f>
      </x:c>
      <x:c r="M36" t="str">
        <x:f>IF(A36="","",IF(C36="Done","No",IF(G36="","Unknown",IF(G36&lt;=START_HERE!$B$7-START_HERE!$B$8,"Yes","No"))))</x:f>
      </x:c>
      <x:c r="N36" t="str">
        <x:f>IF(A36="","",IF(ISNUMBER(SEARCH("stale-simulated",H36)),"Yes","No"))</x:f>
      </x:c>
      <x:c r="O36" s="51" t="str">
        <x:f>IF(A36="","",IF(OR(C36="Done",F36=""),0,MAX(0,START_HERE!$B$7-F36)))</x:f>
      </x:c>
      <x:c r="P36" t="str">
        <x:f>IF(A36="","",IF(E36="","Missing owner","OK"))</x:f>
      </x:c>
    </x:row>
    <x:row r="37">
      <x:c r="L37" t="str">
        <x:f>IF(A37="","",IF(OR(C37="Done",F37=""),"No",IF(F37&lt;START_HERE!$B$7,"Yes","No")))</x:f>
      </x:c>
      <x:c r="M37" t="str">
        <x:f>IF(A37="","",IF(C37="Done","No",IF(G37="","Unknown",IF(G37&lt;=START_HERE!$B$7-START_HERE!$B$8,"Yes","No"))))</x:f>
      </x:c>
      <x:c r="N37" t="str">
        <x:f>IF(A37="","",IF(ISNUMBER(SEARCH("stale-simulated",H37)),"Yes","No"))</x:f>
      </x:c>
      <x:c r="O37" s="51" t="str">
        <x:f>IF(A37="","",IF(OR(C37="Done",F37=""),0,MAX(0,START_HERE!$B$7-F37)))</x:f>
      </x:c>
      <x:c r="P37" t="str">
        <x:f>IF(A37="","",IF(E37="","Missing owner","OK"))</x:f>
      </x:c>
    </x:row>
    <x:row r="38">
      <x:c r="L38" t="str">
        <x:f>IF(A38="","",IF(OR(C38="Done",F38=""),"No",IF(F38&lt;START_HERE!$B$7,"Yes","No")))</x:f>
      </x:c>
      <x:c r="M38" t="str">
        <x:f>IF(A38="","",IF(C38="Done","No",IF(G38="","Unknown",IF(G38&lt;=START_HERE!$B$7-START_HERE!$B$8,"Yes","No"))))</x:f>
      </x:c>
      <x:c r="N38" t="str">
        <x:f>IF(A38="","",IF(ISNUMBER(SEARCH("stale-simulated",H38)),"Yes","No"))</x:f>
      </x:c>
      <x:c r="O38" s="51" t="str">
        <x:f>IF(A38="","",IF(OR(C38="Done",F38=""),0,MAX(0,START_HERE!$B$7-F38)))</x:f>
      </x:c>
      <x:c r="P38" t="str">
        <x:f>IF(A38="","",IF(E38="","Missing owner","OK"))</x:f>
      </x:c>
    </x:row>
    <x:row r="39">
      <x:c r="L39" t="str">
        <x:f>IF(A39="","",IF(OR(C39="Done",F39=""),"No",IF(F39&lt;START_HERE!$B$7,"Yes","No")))</x:f>
      </x:c>
      <x:c r="M39" t="str">
        <x:f>IF(A39="","",IF(C39="Done","No",IF(G39="","Unknown",IF(G39&lt;=START_HERE!$B$7-START_HERE!$B$8,"Yes","No"))))</x:f>
      </x:c>
      <x:c r="N39" t="str">
        <x:f>IF(A39="","",IF(ISNUMBER(SEARCH("stale-simulated",H39)),"Yes","No"))</x:f>
      </x:c>
      <x:c r="O39" s="51" t="str">
        <x:f>IF(A39="","",IF(OR(C39="Done",F39=""),0,MAX(0,START_HERE!$B$7-F39)))</x:f>
      </x:c>
      <x:c r="P39" t="str">
        <x:f>IF(A39="","",IF(E39="","Missing owner","OK"))</x:f>
      </x:c>
    </x:row>
    <x:row r="40">
      <x:c r="L40" t="str">
        <x:f>IF(A40="","",IF(OR(C40="Done",F40=""),"No",IF(F40&lt;START_HERE!$B$7,"Yes","No")))</x:f>
      </x:c>
      <x:c r="M40" t="str">
        <x:f>IF(A40="","",IF(C40="Done","No",IF(G40="","Unknown",IF(G40&lt;=START_HERE!$B$7-START_HERE!$B$8,"Yes","No"))))</x:f>
      </x:c>
      <x:c r="N40" t="str">
        <x:f>IF(A40="","",IF(ISNUMBER(SEARCH("stale-simulated",H40)),"Yes","No"))</x:f>
      </x:c>
      <x:c r="O40" s="51" t="str">
        <x:f>IF(A40="","",IF(OR(C40="Done",F40=""),0,MAX(0,START_HERE!$B$7-F40)))</x:f>
      </x:c>
      <x:c r="P40" t="str">
        <x:f>IF(A40="","",IF(E40="","Missing owner","OK"))</x:f>
      </x:c>
    </x:row>
    <x:row r="41">
      <x:c r="L41" t="str">
        <x:f>IF(A41="","",IF(OR(C41="Done",F41=""),"No",IF(F41&lt;START_HERE!$B$7,"Yes","No")))</x:f>
      </x:c>
      <x:c r="M41" t="str">
        <x:f>IF(A41="","",IF(C41="Done","No",IF(G41="","Unknown",IF(G41&lt;=START_HERE!$B$7-START_HERE!$B$8,"Yes","No"))))</x:f>
      </x:c>
      <x:c r="N41" t="str">
        <x:f>IF(A41="","",IF(ISNUMBER(SEARCH("stale-simulated",H41)),"Yes","No"))</x:f>
      </x:c>
      <x:c r="O41" s="51" t="str">
        <x:f>IF(A41="","",IF(OR(C41="Done",F41=""),0,MAX(0,START_HERE!$B$7-F41)))</x:f>
      </x:c>
      <x:c r="P41" t="str">
        <x:f>IF(A41="","",IF(E41="","Missing owner","OK"))</x:f>
      </x:c>
    </x:row>
    <x:row r="42">
      <x:c r="L42" t="str">
        <x:f>IF(A42="","",IF(OR(C42="Done",F42=""),"No",IF(F42&lt;START_HERE!$B$7,"Yes","No")))</x:f>
      </x:c>
      <x:c r="M42" t="str">
        <x:f>IF(A42="","",IF(C42="Done","No",IF(G42="","Unknown",IF(G42&lt;=START_HERE!$B$7-START_HERE!$B$8,"Yes","No"))))</x:f>
      </x:c>
      <x:c r="N42" t="str">
        <x:f>IF(A42="","",IF(ISNUMBER(SEARCH("stale-simulated",H42)),"Yes","No"))</x:f>
      </x:c>
      <x:c r="O42" s="51" t="str">
        <x:f>IF(A42="","",IF(OR(C42="Done",F42=""),0,MAX(0,START_HERE!$B$7-F42)))</x:f>
      </x:c>
      <x:c r="P42" t="str">
        <x:f>IF(A42="","",IF(E42="","Missing owner","OK"))</x:f>
      </x:c>
    </x:row>
    <x:row r="43">
      <x:c r="L43" t="str">
        <x:f>IF(A43="","",IF(OR(C43="Done",F43=""),"No",IF(F43&lt;START_HERE!$B$7,"Yes","No")))</x:f>
      </x:c>
      <x:c r="M43" t="str">
        <x:f>IF(A43="","",IF(C43="Done","No",IF(G43="","Unknown",IF(G43&lt;=START_HERE!$B$7-START_HERE!$B$8,"Yes","No"))))</x:f>
      </x:c>
      <x:c r="N43" t="str">
        <x:f>IF(A43="","",IF(ISNUMBER(SEARCH("stale-simulated",H43)),"Yes","No"))</x:f>
      </x:c>
      <x:c r="O43" s="51" t="str">
        <x:f>IF(A43="","",IF(OR(C43="Done",F43=""),0,MAX(0,START_HERE!$B$7-F43)))</x:f>
      </x:c>
      <x:c r="P43" t="str">
        <x:f>IF(A43="","",IF(E43="","Missing owner","OK"))</x:f>
      </x:c>
    </x:row>
    <x:row r="44">
      <x:c r="L44" t="str">
        <x:f>IF(A44="","",IF(OR(C44="Done",F44=""),"No",IF(F44&lt;START_HERE!$B$7,"Yes","No")))</x:f>
      </x:c>
      <x:c r="M44" t="str">
        <x:f>IF(A44="","",IF(C44="Done","No",IF(G44="","Unknown",IF(G44&lt;=START_HERE!$B$7-START_HERE!$B$8,"Yes","No"))))</x:f>
      </x:c>
      <x:c r="N44" t="str">
        <x:f>IF(A44="","",IF(ISNUMBER(SEARCH("stale-simulated",H44)),"Yes","No"))</x:f>
      </x:c>
      <x:c r="O44" s="51" t="str">
        <x:f>IF(A44="","",IF(OR(C44="Done",F44=""),0,MAX(0,START_HERE!$B$7-F44)))</x:f>
      </x:c>
      <x:c r="P44" t="str">
        <x:f>IF(A44="","",IF(E44="","Missing owner","OK"))</x:f>
      </x:c>
    </x:row>
    <x:row r="45">
      <x:c r="L45" t="str">
        <x:f>IF(A45="","",IF(OR(C45="Done",F45=""),"No",IF(F45&lt;START_HERE!$B$7,"Yes","No")))</x:f>
      </x:c>
      <x:c r="M45" t="str">
        <x:f>IF(A45="","",IF(C45="Done","No",IF(G45="","Unknown",IF(G45&lt;=START_HERE!$B$7-START_HERE!$B$8,"Yes","No"))))</x:f>
      </x:c>
      <x:c r="N45" t="str">
        <x:f>IF(A45="","",IF(ISNUMBER(SEARCH("stale-simulated",H45)),"Yes","No"))</x:f>
      </x:c>
      <x:c r="O45" s="51" t="str">
        <x:f>IF(A45="","",IF(OR(C45="Done",F45=""),0,MAX(0,START_HERE!$B$7-F45)))</x:f>
      </x:c>
      <x:c r="P45" t="str">
        <x:f>IF(A45="","",IF(E45="","Missing owner","OK"))</x:f>
      </x:c>
    </x:row>
    <x:row r="46">
      <x:c r="L46" t="str">
        <x:f>IF(A46="","",IF(OR(C46="Done",F46=""),"No",IF(F46&lt;START_HERE!$B$7,"Yes","No")))</x:f>
      </x:c>
      <x:c r="M46" t="str">
        <x:f>IF(A46="","",IF(C46="Done","No",IF(G46="","Unknown",IF(G46&lt;=START_HERE!$B$7-START_HERE!$B$8,"Yes","No"))))</x:f>
      </x:c>
      <x:c r="N46" t="str">
        <x:f>IF(A46="","",IF(ISNUMBER(SEARCH("stale-simulated",H46)),"Yes","No"))</x:f>
      </x:c>
      <x:c r="O46" s="51" t="str">
        <x:f>IF(A46="","",IF(OR(C46="Done",F46=""),0,MAX(0,START_HERE!$B$7-F46)))</x:f>
      </x:c>
      <x:c r="P46" t="str">
        <x:f>IF(A46="","",IF(E46="","Missing owner","OK"))</x:f>
      </x:c>
    </x:row>
    <x:row r="47">
      <x:c r="L47" t="str">
        <x:f>IF(A47="","",IF(OR(C47="Done",F47=""),"No",IF(F47&lt;START_HERE!$B$7,"Yes","No")))</x:f>
      </x:c>
      <x:c r="M47" t="str">
        <x:f>IF(A47="","",IF(C47="Done","No",IF(G47="","Unknown",IF(G47&lt;=START_HERE!$B$7-START_HERE!$B$8,"Yes","No"))))</x:f>
      </x:c>
      <x:c r="N47" t="str">
        <x:f>IF(A47="","",IF(ISNUMBER(SEARCH("stale-simulated",H47)),"Yes","No"))</x:f>
      </x:c>
      <x:c r="O47" s="51" t="str">
        <x:f>IF(A47="","",IF(OR(C47="Done",F47=""),0,MAX(0,START_HERE!$B$7-F47)))</x:f>
      </x:c>
      <x:c r="P47" t="str">
        <x:f>IF(A47="","",IF(E47="","Missing owner","OK"))</x:f>
      </x:c>
    </x:row>
    <x:row r="48">
      <x:c r="L48" t="str">
        <x:f>IF(A48="","",IF(OR(C48="Done",F48=""),"No",IF(F48&lt;START_HERE!$B$7,"Yes","No")))</x:f>
      </x:c>
      <x:c r="M48" t="str">
        <x:f>IF(A48="","",IF(C48="Done","No",IF(G48="","Unknown",IF(G48&lt;=START_HERE!$B$7-START_HERE!$B$8,"Yes","No"))))</x:f>
      </x:c>
      <x:c r="N48" t="str">
        <x:f>IF(A48="","",IF(ISNUMBER(SEARCH("stale-simulated",H48)),"Yes","No"))</x:f>
      </x:c>
      <x:c r="O48" s="51" t="str">
        <x:f>IF(A48="","",IF(OR(C48="Done",F48=""),0,MAX(0,START_HERE!$B$7-F48)))</x:f>
      </x:c>
      <x:c r="P48" t="str">
        <x:f>IF(A48="","",IF(E48="","Missing owner","OK"))</x:f>
      </x:c>
    </x:row>
    <x:row r="49">
      <x:c r="L49" t="str">
        <x:f>IF(A49="","",IF(OR(C49="Done",F49=""),"No",IF(F49&lt;START_HERE!$B$7,"Yes","No")))</x:f>
      </x:c>
      <x:c r="M49" t="str">
        <x:f>IF(A49="","",IF(C49="Done","No",IF(G49="","Unknown",IF(G49&lt;=START_HERE!$B$7-START_HERE!$B$8,"Yes","No"))))</x:f>
      </x:c>
      <x:c r="N49" t="str">
        <x:f>IF(A49="","",IF(ISNUMBER(SEARCH("stale-simulated",H49)),"Yes","No"))</x:f>
      </x:c>
      <x:c r="O49" s="51" t="str">
        <x:f>IF(A49="","",IF(OR(C49="Done",F49=""),0,MAX(0,START_HERE!$B$7-F49)))</x:f>
      </x:c>
      <x:c r="P49" t="str">
        <x:f>IF(A49="","",IF(E49="","Missing owner","OK"))</x:f>
      </x:c>
    </x:row>
    <x:row r="50">
      <x:c r="L50" t="str">
        <x:f>IF(A50="","",IF(OR(C50="Done",F50=""),"No",IF(F50&lt;START_HERE!$B$7,"Yes","No")))</x:f>
      </x:c>
      <x:c r="M50" t="str">
        <x:f>IF(A50="","",IF(C50="Done","No",IF(G50="","Unknown",IF(G50&lt;=START_HERE!$B$7-START_HERE!$B$8,"Yes","No"))))</x:f>
      </x:c>
      <x:c r="N50" t="str">
        <x:f>IF(A50="","",IF(ISNUMBER(SEARCH("stale-simulated",H50)),"Yes","No"))</x:f>
      </x:c>
      <x:c r="O50" s="51" t="str">
        <x:f>IF(A50="","",IF(OR(C50="Done",F50=""),0,MAX(0,START_HERE!$B$7-F50)))</x:f>
      </x:c>
      <x:c r="P50" t="str">
        <x:f>IF(A50="","",IF(E50="","Missing owner","OK"))</x:f>
      </x:c>
    </x:row>
    <x:row r="51">
      <x:c r="L51" t="str">
        <x:f>IF(A51="","",IF(OR(C51="Done",F51=""),"No",IF(F51&lt;START_HERE!$B$7,"Yes","No")))</x:f>
      </x:c>
      <x:c r="M51" t="str">
        <x:f>IF(A51="","",IF(C51="Done","No",IF(G51="","Unknown",IF(G51&lt;=START_HERE!$B$7-START_HERE!$B$8,"Yes","No"))))</x:f>
      </x:c>
      <x:c r="N51" t="str">
        <x:f>IF(A51="","",IF(ISNUMBER(SEARCH("stale-simulated",H51)),"Yes","No"))</x:f>
      </x:c>
      <x:c r="O51" s="51" t="str">
        <x:f>IF(A51="","",IF(OR(C51="Done",F51=""),0,MAX(0,START_HERE!$B$7-F51)))</x:f>
      </x:c>
      <x:c r="P51" t="str">
        <x:f>IF(A51="","",IF(E51="","Missing owner","OK"))</x:f>
      </x:c>
    </x:row>
    <x:row r="52">
      <x:c r="L52" t="str">
        <x:f>IF(A52="","",IF(OR(C52="Done",F52=""),"No",IF(F52&lt;START_HERE!$B$7,"Yes","No")))</x:f>
      </x:c>
      <x:c r="M52" t="str">
        <x:f>IF(A52="","",IF(C52="Done","No",IF(G52="","Unknown",IF(G52&lt;=START_HERE!$B$7-START_HERE!$B$8,"Yes","No"))))</x:f>
      </x:c>
      <x:c r="N52" t="str">
        <x:f>IF(A52="","",IF(ISNUMBER(SEARCH("stale-simulated",H52)),"Yes","No"))</x:f>
      </x:c>
      <x:c r="O52" s="51" t="str">
        <x:f>IF(A52="","",IF(OR(C52="Done",F52=""),0,MAX(0,START_HERE!$B$7-F52)))</x:f>
      </x:c>
      <x:c r="P52" t="str">
        <x:f>IF(A52="","",IF(E52="","Missing owner","OK"))</x:f>
      </x:c>
    </x:row>
    <x:row r="53">
      <x:c r="L53" t="str">
        <x:f>IF(A53="","",IF(OR(C53="Done",F53=""),"No",IF(F53&lt;START_HERE!$B$7,"Yes","No")))</x:f>
      </x:c>
      <x:c r="M53" t="str">
        <x:f>IF(A53="","",IF(C53="Done","No",IF(G53="","Unknown",IF(G53&lt;=START_HERE!$B$7-START_HERE!$B$8,"Yes","No"))))</x:f>
      </x:c>
      <x:c r="N53" t="str">
        <x:f>IF(A53="","",IF(ISNUMBER(SEARCH("stale-simulated",H53)),"Yes","No"))</x:f>
      </x:c>
      <x:c r="O53" s="51" t="str">
        <x:f>IF(A53="","",IF(OR(C53="Done",F53=""),0,MAX(0,START_HERE!$B$7-F53)))</x:f>
      </x:c>
      <x:c r="P53" t="str">
        <x:f>IF(A53="","",IF(E53="","Missing owner","OK"))</x:f>
      </x:c>
    </x:row>
    <x:row r="54">
      <x:c r="L54" t="str">
        <x:f>IF(A54="","",IF(OR(C54="Done",F54=""),"No",IF(F54&lt;START_HERE!$B$7,"Yes","No")))</x:f>
      </x:c>
      <x:c r="M54" t="str">
        <x:f>IF(A54="","",IF(C54="Done","No",IF(G54="","Unknown",IF(G54&lt;=START_HERE!$B$7-START_HERE!$B$8,"Yes","No"))))</x:f>
      </x:c>
      <x:c r="N54" t="str">
        <x:f>IF(A54="","",IF(ISNUMBER(SEARCH("stale-simulated",H54)),"Yes","No"))</x:f>
      </x:c>
      <x:c r="O54" s="51" t="str">
        <x:f>IF(A54="","",IF(OR(C54="Done",F54=""),0,MAX(0,START_HERE!$B$7-F54)))</x:f>
      </x:c>
      <x:c r="P54" t="str">
        <x:f>IF(A54="","",IF(E54="","Missing owner","OK"))</x:f>
      </x:c>
    </x:row>
    <x:row r="55">
      <x:c r="L55" t="str">
        <x:f>IF(A55="","",IF(OR(C55="Done",F55=""),"No",IF(F55&lt;START_HERE!$B$7,"Yes","No")))</x:f>
      </x:c>
      <x:c r="M55" t="str">
        <x:f>IF(A55="","",IF(C55="Done","No",IF(G55="","Unknown",IF(G55&lt;=START_HERE!$B$7-START_HERE!$B$8,"Yes","No"))))</x:f>
      </x:c>
      <x:c r="N55" t="str">
        <x:f>IF(A55="","",IF(ISNUMBER(SEARCH("stale-simulated",H55)),"Yes","No"))</x:f>
      </x:c>
      <x:c r="O55" s="51" t="str">
        <x:f>IF(A55="","",IF(OR(C55="Done",F55=""),0,MAX(0,START_HERE!$B$7-F55)))</x:f>
      </x:c>
      <x:c r="P55" t="str">
        <x:f>IF(A55="","",IF(E55="","Missing owner","OK"))</x:f>
      </x:c>
    </x:row>
    <x:row r="56">
      <x:c r="L56" t="str">
        <x:f>IF(A56="","",IF(OR(C56="Done",F56=""),"No",IF(F56&lt;START_HERE!$B$7,"Yes","No")))</x:f>
      </x:c>
      <x:c r="M56" t="str">
        <x:f>IF(A56="","",IF(C56="Done","No",IF(G56="","Unknown",IF(G56&lt;=START_HERE!$B$7-START_HERE!$B$8,"Yes","No"))))</x:f>
      </x:c>
      <x:c r="N56" t="str">
        <x:f>IF(A56="","",IF(ISNUMBER(SEARCH("stale-simulated",H56)),"Yes","No"))</x:f>
      </x:c>
      <x:c r="O56" s="51" t="str">
        <x:f>IF(A56="","",IF(OR(C56="Done",F56=""),0,MAX(0,START_HERE!$B$7-F56)))</x:f>
      </x:c>
      <x:c r="P56" t="str">
        <x:f>IF(A56="","",IF(E56="","Missing owner","OK"))</x:f>
      </x:c>
    </x:row>
    <x:row r="57">
      <x:c r="L57" t="str">
        <x:f>IF(A57="","",IF(OR(C57="Done",F57=""),"No",IF(F57&lt;START_HERE!$B$7,"Yes","No")))</x:f>
      </x:c>
      <x:c r="M57" t="str">
        <x:f>IF(A57="","",IF(C57="Done","No",IF(G57="","Unknown",IF(G57&lt;=START_HERE!$B$7-START_HERE!$B$8,"Yes","No"))))</x:f>
      </x:c>
      <x:c r="N57" t="str">
        <x:f>IF(A57="","",IF(ISNUMBER(SEARCH("stale-simulated",H57)),"Yes","No"))</x:f>
      </x:c>
      <x:c r="O57" s="51" t="str">
        <x:f>IF(A57="","",IF(OR(C57="Done",F57=""),0,MAX(0,START_HERE!$B$7-F57)))</x:f>
      </x:c>
      <x:c r="P57" t="str">
        <x:f>IF(A57="","",IF(E57="","Missing owner","OK"))</x:f>
      </x:c>
    </x:row>
    <x:row r="58">
      <x:c r="L58" t="str">
        <x:f>IF(A58="","",IF(OR(C58="Done",F58=""),"No",IF(F58&lt;START_HERE!$B$7,"Yes","No")))</x:f>
      </x:c>
      <x:c r="M58" t="str">
        <x:f>IF(A58="","",IF(C58="Done","No",IF(G58="","Unknown",IF(G58&lt;=START_HERE!$B$7-START_HERE!$B$8,"Yes","No"))))</x:f>
      </x:c>
      <x:c r="N58" t="str">
        <x:f>IF(A58="","",IF(ISNUMBER(SEARCH("stale-simulated",H58)),"Yes","No"))</x:f>
      </x:c>
      <x:c r="O58" s="51" t="str">
        <x:f>IF(A58="","",IF(OR(C58="Done",F58=""),0,MAX(0,START_HERE!$B$7-F58)))</x:f>
      </x:c>
      <x:c r="P58" t="str">
        <x:f>IF(A58="","",IF(E58="","Missing owner","OK"))</x:f>
      </x:c>
    </x:row>
    <x:row r="59">
      <x:c r="L59" t="str">
        <x:f>IF(A59="","",IF(OR(C59="Done",F59=""),"No",IF(F59&lt;START_HERE!$B$7,"Yes","No")))</x:f>
      </x:c>
      <x:c r="M59" t="str">
        <x:f>IF(A59="","",IF(C59="Done","No",IF(G59="","Unknown",IF(G59&lt;=START_HERE!$B$7-START_HERE!$B$8,"Yes","No"))))</x:f>
      </x:c>
      <x:c r="N59" t="str">
        <x:f>IF(A59="","",IF(ISNUMBER(SEARCH("stale-simulated",H59)),"Yes","No"))</x:f>
      </x:c>
      <x:c r="O59" s="51" t="str">
        <x:f>IF(A59="","",IF(OR(C59="Done",F59=""),0,MAX(0,START_HERE!$B$7-F59)))</x:f>
      </x:c>
      <x:c r="P59" t="str">
        <x:f>IF(A59="","",IF(E59="","Missing owner","OK"))</x:f>
      </x:c>
    </x:row>
    <x:row r="60">
      <x:c r="L60" t="str">
        <x:f>IF(A60="","",IF(OR(C60="Done",F60=""),"No",IF(F60&lt;START_HERE!$B$7,"Yes","No")))</x:f>
      </x:c>
      <x:c r="M60" t="str">
        <x:f>IF(A60="","",IF(C60="Done","No",IF(G60="","Unknown",IF(G60&lt;=START_HERE!$B$7-START_HERE!$B$8,"Yes","No"))))</x:f>
      </x:c>
      <x:c r="N60" t="str">
        <x:f>IF(A60="","",IF(ISNUMBER(SEARCH("stale-simulated",H60)),"Yes","No"))</x:f>
      </x:c>
      <x:c r="O60" s="51" t="str">
        <x:f>IF(A60="","",IF(OR(C60="Done",F60=""),0,MAX(0,START_HERE!$B$7-F60)))</x:f>
      </x:c>
      <x:c r="P60" t="str">
        <x:f>IF(A60="","",IF(E60="","Missing owner","OK"))</x:f>
      </x:c>
    </x:row>
    <x:row r="61">
      <x:c r="L61" t="str">
        <x:f>IF(A61="","",IF(OR(C61="Done",F61=""),"No",IF(F61&lt;START_HERE!$B$7,"Yes","No")))</x:f>
      </x:c>
      <x:c r="M61" t="str">
        <x:f>IF(A61="","",IF(C61="Done","No",IF(G61="","Unknown",IF(G61&lt;=START_HERE!$B$7-START_HERE!$B$8,"Yes","No"))))</x:f>
      </x:c>
      <x:c r="N61" t="str">
        <x:f>IF(A61="","",IF(ISNUMBER(SEARCH("stale-simulated",H61)),"Yes","No"))</x:f>
      </x:c>
      <x:c r="O61" s="51" t="str">
        <x:f>IF(A61="","",IF(OR(C61="Done",F61=""),0,MAX(0,START_HERE!$B$7-F61)))</x:f>
      </x:c>
      <x:c r="P61" t="str">
        <x:f>IF(A61="","",IF(E61="","Missing owner","OK"))</x:f>
      </x:c>
    </x:row>
    <x:row r="62">
      <x:c r="L62" t="str">
        <x:f>IF(A62="","",IF(OR(C62="Done",F62=""),"No",IF(F62&lt;START_HERE!$B$7,"Yes","No")))</x:f>
      </x:c>
      <x:c r="M62" t="str">
        <x:f>IF(A62="","",IF(C62="Done","No",IF(G62="","Unknown",IF(G62&lt;=START_HERE!$B$7-START_HERE!$B$8,"Yes","No"))))</x:f>
      </x:c>
      <x:c r="N62" t="str">
        <x:f>IF(A62="","",IF(ISNUMBER(SEARCH("stale-simulated",H62)),"Yes","No"))</x:f>
      </x:c>
      <x:c r="O62" s="51" t="str">
        <x:f>IF(A62="","",IF(OR(C62="Done",F62=""),0,MAX(0,START_HERE!$B$7-F62)))</x:f>
      </x:c>
      <x:c r="P62" t="str">
        <x:f>IF(A62="","",IF(E62="","Missing owner","OK"))</x:f>
      </x:c>
    </x:row>
    <x:row r="63">
      <x:c r="L63" t="str">
        <x:f>IF(A63="","",IF(OR(C63="Done",F63=""),"No",IF(F63&lt;START_HERE!$B$7,"Yes","No")))</x:f>
      </x:c>
      <x:c r="M63" t="str">
        <x:f>IF(A63="","",IF(C63="Done","No",IF(G63="","Unknown",IF(G63&lt;=START_HERE!$B$7-START_HERE!$B$8,"Yes","No"))))</x:f>
      </x:c>
      <x:c r="N63" t="str">
        <x:f>IF(A63="","",IF(ISNUMBER(SEARCH("stale-simulated",H63)),"Yes","No"))</x:f>
      </x:c>
      <x:c r="O63" s="51" t="str">
        <x:f>IF(A63="","",IF(OR(C63="Done",F63=""),0,MAX(0,START_HERE!$B$7-F63)))</x:f>
      </x:c>
      <x:c r="P63" t="str">
        <x:f>IF(A63="","",IF(E63="","Missing owner","OK"))</x:f>
      </x:c>
    </x:row>
    <x:row r="64">
      <x:c r="L64" t="str">
        <x:f>IF(A64="","",IF(OR(C64="Done",F64=""),"No",IF(F64&lt;START_HERE!$B$7,"Yes","No")))</x:f>
      </x:c>
      <x:c r="M64" t="str">
        <x:f>IF(A64="","",IF(C64="Done","No",IF(G64="","Unknown",IF(G64&lt;=START_HERE!$B$7-START_HERE!$B$8,"Yes","No"))))</x:f>
      </x:c>
      <x:c r="N64" t="str">
        <x:f>IF(A64="","",IF(ISNUMBER(SEARCH("stale-simulated",H64)),"Yes","No"))</x:f>
      </x:c>
      <x:c r="O64" s="51" t="str">
        <x:f>IF(A64="","",IF(OR(C64="Done",F64=""),0,MAX(0,START_HERE!$B$7-F64)))</x:f>
      </x:c>
      <x:c r="P64" t="str">
        <x:f>IF(A64="","",IF(E64="","Missing owner","OK"))</x:f>
      </x:c>
    </x:row>
    <x:row r="65">
      <x:c r="L65" t="str">
        <x:f>IF(A65="","",IF(OR(C65="Done",F65=""),"No",IF(F65&lt;START_HERE!$B$7,"Yes","No")))</x:f>
      </x:c>
      <x:c r="M65" t="str">
        <x:f>IF(A65="","",IF(C65="Done","No",IF(G65="","Unknown",IF(G65&lt;=START_HERE!$B$7-START_HERE!$B$8,"Yes","No"))))</x:f>
      </x:c>
      <x:c r="N65" t="str">
        <x:f>IF(A65="","",IF(ISNUMBER(SEARCH("stale-simulated",H65)),"Yes","No"))</x:f>
      </x:c>
      <x:c r="O65" s="51" t="str">
        <x:f>IF(A65="","",IF(OR(C65="Done",F65=""),0,MAX(0,START_HERE!$B$7-F65)))</x:f>
      </x:c>
      <x:c r="P65" t="str">
        <x:f>IF(A65="","",IF(E65="","Missing owner","OK"))</x:f>
      </x:c>
    </x:row>
    <x:row r="66">
      <x:c r="L66" t="str">
        <x:f>IF(A66="","",IF(OR(C66="Done",F66=""),"No",IF(F66&lt;START_HERE!$B$7,"Yes","No")))</x:f>
      </x:c>
      <x:c r="M66" t="str">
        <x:f>IF(A66="","",IF(C66="Done","No",IF(G66="","Unknown",IF(G66&lt;=START_HERE!$B$7-START_HERE!$B$8,"Yes","No"))))</x:f>
      </x:c>
      <x:c r="N66" t="str">
        <x:f>IF(A66="","",IF(ISNUMBER(SEARCH("stale-simulated",H66)),"Yes","No"))</x:f>
      </x:c>
      <x:c r="O66" s="51" t="str">
        <x:f>IF(A66="","",IF(OR(C66="Done",F66=""),0,MAX(0,START_HERE!$B$7-F66)))</x:f>
      </x:c>
      <x:c r="P66" t="str">
        <x:f>IF(A66="","",IF(E66="","Missing owner","OK"))</x:f>
      </x:c>
    </x:row>
    <x:row r="67">
      <x:c r="L67" t="str">
        <x:f>IF(A67="","",IF(OR(C67="Done",F67=""),"No",IF(F67&lt;START_HERE!$B$7,"Yes","No")))</x:f>
      </x:c>
      <x:c r="M67" t="str">
        <x:f>IF(A67="","",IF(C67="Done","No",IF(G67="","Unknown",IF(G67&lt;=START_HERE!$B$7-START_HERE!$B$8,"Yes","No"))))</x:f>
      </x:c>
      <x:c r="N67" t="str">
        <x:f>IF(A67="","",IF(ISNUMBER(SEARCH("stale-simulated",H67)),"Yes","No"))</x:f>
      </x:c>
      <x:c r="O67" s="51" t="str">
        <x:f>IF(A67="","",IF(OR(C67="Done",F67=""),0,MAX(0,START_HERE!$B$7-F67)))</x:f>
      </x:c>
      <x:c r="P67" t="str">
        <x:f>IF(A67="","",IF(E67="","Missing owner","OK"))</x:f>
      </x:c>
    </x:row>
    <x:row r="68">
      <x:c r="L68" t="str">
        <x:f>IF(A68="","",IF(OR(C68="Done",F68=""),"No",IF(F68&lt;START_HERE!$B$7,"Yes","No")))</x:f>
      </x:c>
      <x:c r="M68" t="str">
        <x:f>IF(A68="","",IF(C68="Done","No",IF(G68="","Unknown",IF(G68&lt;=START_HERE!$B$7-START_HERE!$B$8,"Yes","No"))))</x:f>
      </x:c>
      <x:c r="N68" t="str">
        <x:f>IF(A68="","",IF(ISNUMBER(SEARCH("stale-simulated",H68)),"Yes","No"))</x:f>
      </x:c>
      <x:c r="O68" s="51" t="str">
        <x:f>IF(A68="","",IF(OR(C68="Done",F68=""),0,MAX(0,START_HERE!$B$7-F68)))</x:f>
      </x:c>
      <x:c r="P68" t="str">
        <x:f>IF(A68="","",IF(E68="","Missing owner","OK"))</x:f>
      </x:c>
    </x:row>
    <x:row r="69">
      <x:c r="L69" t="str">
        <x:f>IF(A69="","",IF(OR(C69="Done",F69=""),"No",IF(F69&lt;START_HERE!$B$7,"Yes","No")))</x:f>
      </x:c>
      <x:c r="M69" t="str">
        <x:f>IF(A69="","",IF(C69="Done","No",IF(G69="","Unknown",IF(G69&lt;=START_HERE!$B$7-START_HERE!$B$8,"Yes","No"))))</x:f>
      </x:c>
      <x:c r="N69" t="str">
        <x:f>IF(A69="","",IF(ISNUMBER(SEARCH("stale-simulated",H69)),"Yes","No"))</x:f>
      </x:c>
      <x:c r="O69" s="51" t="str">
        <x:f>IF(A69="","",IF(OR(C69="Done",F69=""),0,MAX(0,START_HERE!$B$7-F69)))</x:f>
      </x:c>
      <x:c r="P69" t="str">
        <x:f>IF(A69="","",IF(E69="","Missing owner","OK"))</x:f>
      </x:c>
    </x:row>
    <x:row r="70">
      <x:c r="L70" t="str">
        <x:f>IF(A70="","",IF(OR(C70="Done",F70=""),"No",IF(F70&lt;START_HERE!$B$7,"Yes","No")))</x:f>
      </x:c>
      <x:c r="M70" t="str">
        <x:f>IF(A70="","",IF(C70="Done","No",IF(G70="","Unknown",IF(G70&lt;=START_HERE!$B$7-START_HERE!$B$8,"Yes","No"))))</x:f>
      </x:c>
      <x:c r="N70" t="str">
        <x:f>IF(A70="","",IF(ISNUMBER(SEARCH("stale-simulated",H70)),"Yes","No"))</x:f>
      </x:c>
      <x:c r="O70" s="51" t="str">
        <x:f>IF(A70="","",IF(OR(C70="Done",F70=""),0,MAX(0,START_HERE!$B$7-F70)))</x:f>
      </x:c>
      <x:c r="P70" t="str">
        <x:f>IF(A70="","",IF(E70="","Missing owner","OK"))</x:f>
      </x:c>
    </x:row>
    <x:row r="71">
      <x:c r="L71" t="str">
        <x:f>IF(A71="","",IF(OR(C71="Done",F71=""),"No",IF(F71&lt;START_HERE!$B$7,"Yes","No")))</x:f>
      </x:c>
      <x:c r="M71" t="str">
        <x:f>IF(A71="","",IF(C71="Done","No",IF(G71="","Unknown",IF(G71&lt;=START_HERE!$B$7-START_HERE!$B$8,"Yes","No"))))</x:f>
      </x:c>
      <x:c r="N71" t="str">
        <x:f>IF(A71="","",IF(ISNUMBER(SEARCH("stale-simulated",H71)),"Yes","No"))</x:f>
      </x:c>
      <x:c r="O71" s="51" t="str">
        <x:f>IF(A71="","",IF(OR(C71="Done",F71=""),0,MAX(0,START_HERE!$B$7-F71)))</x:f>
      </x:c>
      <x:c r="P71" t="str">
        <x:f>IF(A71="","",IF(E71="","Missing owner","OK"))</x:f>
      </x:c>
    </x:row>
    <x:row r="72">
      <x:c r="L72" t="str">
        <x:f>IF(A72="","",IF(OR(C72="Done",F72=""),"No",IF(F72&lt;START_HERE!$B$7,"Yes","No")))</x:f>
      </x:c>
      <x:c r="M72" t="str">
        <x:f>IF(A72="","",IF(C72="Done","No",IF(G72="","Unknown",IF(G72&lt;=START_HERE!$B$7-START_HERE!$B$8,"Yes","No"))))</x:f>
      </x:c>
      <x:c r="N72" t="str">
        <x:f>IF(A72="","",IF(ISNUMBER(SEARCH("stale-simulated",H72)),"Yes","No"))</x:f>
      </x:c>
      <x:c r="O72" s="51" t="str">
        <x:f>IF(A72="","",IF(OR(C72="Done",F72=""),0,MAX(0,START_HERE!$B$7-F72)))</x:f>
      </x:c>
      <x:c r="P72" t="str">
        <x:f>IF(A72="","",IF(E72="","Missing owner","OK"))</x:f>
      </x:c>
    </x:row>
    <x:row r="73">
      <x:c r="L73" t="str">
        <x:f>IF(A73="","",IF(OR(C73="Done",F73=""),"No",IF(F73&lt;START_HERE!$B$7,"Yes","No")))</x:f>
      </x:c>
      <x:c r="M73" t="str">
        <x:f>IF(A73="","",IF(C73="Done","No",IF(G73="","Unknown",IF(G73&lt;=START_HERE!$B$7-START_HERE!$B$8,"Yes","No"))))</x:f>
      </x:c>
      <x:c r="N73" t="str">
        <x:f>IF(A73="","",IF(ISNUMBER(SEARCH("stale-simulated",H73)),"Yes","No"))</x:f>
      </x:c>
      <x:c r="O73" s="51" t="str">
        <x:f>IF(A73="","",IF(OR(C73="Done",F73=""),0,MAX(0,START_HERE!$B$7-F73)))</x:f>
      </x:c>
      <x:c r="P73" t="str">
        <x:f>IF(A73="","",IF(E73="","Missing owner","OK"))</x:f>
      </x:c>
    </x:row>
    <x:row r="74">
      <x:c r="L74" t="str">
        <x:f>IF(A74="","",IF(OR(C74="Done",F74=""),"No",IF(F74&lt;START_HERE!$B$7,"Yes","No")))</x:f>
      </x:c>
      <x:c r="M74" t="str">
        <x:f>IF(A74="","",IF(C74="Done","No",IF(G74="","Unknown",IF(G74&lt;=START_HERE!$B$7-START_HERE!$B$8,"Yes","No"))))</x:f>
      </x:c>
      <x:c r="N74" t="str">
        <x:f>IF(A74="","",IF(ISNUMBER(SEARCH("stale-simulated",H74)),"Yes","No"))</x:f>
      </x:c>
      <x:c r="O74" s="51" t="str">
        <x:f>IF(A74="","",IF(OR(C74="Done",F74=""),0,MAX(0,START_HERE!$B$7-F74)))</x:f>
      </x:c>
      <x:c r="P74" t="str">
        <x:f>IF(A74="","",IF(E74="","Missing owner","OK"))</x:f>
      </x:c>
    </x:row>
    <x:row r="75">
      <x:c r="L75" t="str">
        <x:f>IF(A75="","",IF(OR(C75="Done",F75=""),"No",IF(F75&lt;START_HERE!$B$7,"Yes","No")))</x:f>
      </x:c>
      <x:c r="M75" t="str">
        <x:f>IF(A75="","",IF(C75="Done","No",IF(G75="","Unknown",IF(G75&lt;=START_HERE!$B$7-START_HERE!$B$8,"Yes","No"))))</x:f>
      </x:c>
      <x:c r="N75" t="str">
        <x:f>IF(A75="","",IF(ISNUMBER(SEARCH("stale-simulated",H75)),"Yes","No"))</x:f>
      </x:c>
      <x:c r="O75" s="51" t="str">
        <x:f>IF(A75="","",IF(OR(C75="Done",F75=""),0,MAX(0,START_HERE!$B$7-F75)))</x:f>
      </x:c>
      <x:c r="P75" t="str">
        <x:f>IF(A75="","",IF(E75="","Missing owner","OK"))</x:f>
      </x:c>
    </x:row>
    <x:row r="76">
      <x:c r="L76" t="str">
        <x:f>IF(A76="","",IF(OR(C76="Done",F76=""),"No",IF(F76&lt;START_HERE!$B$7,"Yes","No")))</x:f>
      </x:c>
      <x:c r="M76" t="str">
        <x:f>IF(A76="","",IF(C76="Done","No",IF(G76="","Unknown",IF(G76&lt;=START_HERE!$B$7-START_HERE!$B$8,"Yes","No"))))</x:f>
      </x:c>
      <x:c r="N76" t="str">
        <x:f>IF(A76="","",IF(ISNUMBER(SEARCH("stale-simulated",H76)),"Yes","No"))</x:f>
      </x:c>
      <x:c r="O76" s="51" t="str">
        <x:f>IF(A76="","",IF(OR(C76="Done",F76=""),0,MAX(0,START_HERE!$B$7-F76)))</x:f>
      </x:c>
      <x:c r="P76" t="str">
        <x:f>IF(A76="","",IF(E76="","Missing owner","OK"))</x:f>
      </x:c>
    </x:row>
    <x:row r="77">
      <x:c r="L77" t="str">
        <x:f>IF(A77="","",IF(OR(C77="Done",F77=""),"No",IF(F77&lt;START_HERE!$B$7,"Yes","No")))</x:f>
      </x:c>
      <x:c r="M77" t="str">
        <x:f>IF(A77="","",IF(C77="Done","No",IF(G77="","Unknown",IF(G77&lt;=START_HERE!$B$7-START_HERE!$B$8,"Yes","No"))))</x:f>
      </x:c>
      <x:c r="N77" t="str">
        <x:f>IF(A77="","",IF(ISNUMBER(SEARCH("stale-simulated",H77)),"Yes","No"))</x:f>
      </x:c>
      <x:c r="O77" s="51" t="str">
        <x:f>IF(A77="","",IF(OR(C77="Done",F77=""),0,MAX(0,START_HERE!$B$7-F77)))</x:f>
      </x:c>
      <x:c r="P77" t="str">
        <x:f>IF(A77="","",IF(E77="","Missing owner","OK"))</x:f>
      </x:c>
    </x:row>
    <x:row r="78">
      <x:c r="L78" t="str">
        <x:f>IF(A78="","",IF(OR(C78="Done",F78=""),"No",IF(F78&lt;START_HERE!$B$7,"Yes","No")))</x:f>
      </x:c>
      <x:c r="M78" t="str">
        <x:f>IF(A78="","",IF(C78="Done","No",IF(G78="","Unknown",IF(G78&lt;=START_HERE!$B$7-START_HERE!$B$8,"Yes","No"))))</x:f>
      </x:c>
      <x:c r="N78" t="str">
        <x:f>IF(A78="","",IF(ISNUMBER(SEARCH("stale-simulated",H78)),"Yes","No"))</x:f>
      </x:c>
      <x:c r="O78" s="51" t="str">
        <x:f>IF(A78="","",IF(OR(C78="Done",F78=""),0,MAX(0,START_HERE!$B$7-F78)))</x:f>
      </x:c>
      <x:c r="P78" t="str">
        <x:f>IF(A78="","",IF(E78="","Missing owner","OK"))</x:f>
      </x:c>
    </x:row>
    <x:row r="79">
      <x:c r="L79" t="str">
        <x:f>IF(A79="","",IF(OR(C79="Done",F79=""),"No",IF(F79&lt;START_HERE!$B$7,"Yes","No")))</x:f>
      </x:c>
      <x:c r="M79" t="str">
        <x:f>IF(A79="","",IF(C79="Done","No",IF(G79="","Unknown",IF(G79&lt;=START_HERE!$B$7-START_HERE!$B$8,"Yes","No"))))</x:f>
      </x:c>
      <x:c r="N79" t="str">
        <x:f>IF(A79="","",IF(ISNUMBER(SEARCH("stale-simulated",H79)),"Yes","No"))</x:f>
      </x:c>
      <x:c r="O79" s="51" t="str">
        <x:f>IF(A79="","",IF(OR(C79="Done",F79=""),0,MAX(0,START_HERE!$B$7-F79)))</x:f>
      </x:c>
      <x:c r="P79" t="str">
        <x:f>IF(A79="","",IF(E79="","Missing owner","OK"))</x:f>
      </x:c>
    </x:row>
    <x:row r="80">
      <x:c r="L80" t="str">
        <x:f>IF(A80="","",IF(OR(C80="Done",F80=""),"No",IF(F80&lt;START_HERE!$B$7,"Yes","No")))</x:f>
      </x:c>
      <x:c r="M80" t="str">
        <x:f>IF(A80="","",IF(C80="Done","No",IF(G80="","Unknown",IF(G80&lt;=START_HERE!$B$7-START_HERE!$B$8,"Yes","No"))))</x:f>
      </x:c>
      <x:c r="N80" t="str">
        <x:f>IF(A80="","",IF(ISNUMBER(SEARCH("stale-simulated",H80)),"Yes","No"))</x:f>
      </x:c>
      <x:c r="O80" s="51" t="str">
        <x:f>IF(A80="","",IF(OR(C80="Done",F80=""),0,MAX(0,START_HERE!$B$7-F80)))</x:f>
      </x:c>
      <x:c r="P80" t="str">
        <x:f>IF(A80="","",IF(E80="","Missing owner","OK"))</x:f>
      </x:c>
    </x:row>
    <x:row r="81">
      <x:c r="L81" t="str">
        <x:f>IF(A81="","",IF(OR(C81="Done",F81=""),"No",IF(F81&lt;START_HERE!$B$7,"Yes","No")))</x:f>
      </x:c>
      <x:c r="M81" t="str">
        <x:f>IF(A81="","",IF(C81="Done","No",IF(G81="","Unknown",IF(G81&lt;=START_HERE!$B$7-START_HERE!$B$8,"Yes","No"))))</x:f>
      </x:c>
      <x:c r="N81" t="str">
        <x:f>IF(A81="","",IF(ISNUMBER(SEARCH("stale-simulated",H81)),"Yes","No"))</x:f>
      </x:c>
      <x:c r="O81" s="51" t="str">
        <x:f>IF(A81="","",IF(OR(C81="Done",F81=""),0,MAX(0,START_HERE!$B$7-F81)))</x:f>
      </x:c>
      <x:c r="P81" t="str">
        <x:f>IF(A81="","",IF(E81="","Missing owner","OK"))</x:f>
      </x:c>
    </x:row>
    <x:row r="82">
      <x:c r="L82" t="str">
        <x:f>IF(A82="","",IF(OR(C82="Done",F82=""),"No",IF(F82&lt;START_HERE!$B$7,"Yes","No")))</x:f>
      </x:c>
      <x:c r="M82" t="str">
        <x:f>IF(A82="","",IF(C82="Done","No",IF(G82="","Unknown",IF(G82&lt;=START_HERE!$B$7-START_HERE!$B$8,"Yes","No"))))</x:f>
      </x:c>
      <x:c r="N82" t="str">
        <x:f>IF(A82="","",IF(ISNUMBER(SEARCH("stale-simulated",H82)),"Yes","No"))</x:f>
      </x:c>
      <x:c r="O82" s="51" t="str">
        <x:f>IF(A82="","",IF(OR(C82="Done",F82=""),0,MAX(0,START_HERE!$B$7-F82)))</x:f>
      </x:c>
      <x:c r="P82" t="str">
        <x:f>IF(A82="","",IF(E82="","Missing owner","OK"))</x:f>
      </x:c>
    </x:row>
    <x:row r="83">
      <x:c r="L83" t="str">
        <x:f>IF(A83="","",IF(OR(C83="Done",F83=""),"No",IF(F83&lt;START_HERE!$B$7,"Yes","No")))</x:f>
      </x:c>
      <x:c r="M83" t="str">
        <x:f>IF(A83="","",IF(C83="Done","No",IF(G83="","Unknown",IF(G83&lt;=START_HERE!$B$7-START_HERE!$B$8,"Yes","No"))))</x:f>
      </x:c>
      <x:c r="N83" t="str">
        <x:f>IF(A83="","",IF(ISNUMBER(SEARCH("stale-simulated",H83)),"Yes","No"))</x:f>
      </x:c>
      <x:c r="O83" s="51" t="str">
        <x:f>IF(A83="","",IF(OR(C83="Done",F83=""),0,MAX(0,START_HERE!$B$7-F83)))</x:f>
      </x:c>
      <x:c r="P83" t="str">
        <x:f>IF(A83="","",IF(E83="","Missing owner","OK"))</x:f>
      </x:c>
    </x:row>
    <x:row r="84">
      <x:c r="L84" t="str">
        <x:f>IF(A84="","",IF(OR(C84="Done",F84=""),"No",IF(F84&lt;START_HERE!$B$7,"Yes","No")))</x:f>
      </x:c>
      <x:c r="M84" t="str">
        <x:f>IF(A84="","",IF(C84="Done","No",IF(G84="","Unknown",IF(G84&lt;=START_HERE!$B$7-START_HERE!$B$8,"Yes","No"))))</x:f>
      </x:c>
      <x:c r="N84" t="str">
        <x:f>IF(A84="","",IF(ISNUMBER(SEARCH("stale-simulated",H84)),"Yes","No"))</x:f>
      </x:c>
      <x:c r="O84" s="51" t="str">
        <x:f>IF(A84="","",IF(OR(C84="Done",F84=""),0,MAX(0,START_HERE!$B$7-F84)))</x:f>
      </x:c>
      <x:c r="P84" t="str">
        <x:f>IF(A84="","",IF(E84="","Missing owner","OK"))</x:f>
      </x:c>
    </x:row>
    <x:row r="85">
      <x:c r="L85" t="str">
        <x:f>IF(A85="","",IF(OR(C85="Done",F85=""),"No",IF(F85&lt;START_HERE!$B$7,"Yes","No")))</x:f>
      </x:c>
      <x:c r="M85" t="str">
        <x:f>IF(A85="","",IF(C85="Done","No",IF(G85="","Unknown",IF(G85&lt;=START_HERE!$B$7-START_HERE!$B$8,"Yes","No"))))</x:f>
      </x:c>
      <x:c r="N85" t="str">
        <x:f>IF(A85="","",IF(ISNUMBER(SEARCH("stale-simulated",H85)),"Yes","No"))</x:f>
      </x:c>
      <x:c r="O85" s="51" t="str">
        <x:f>IF(A85="","",IF(OR(C85="Done",F85=""),0,MAX(0,START_HERE!$B$7-F85)))</x:f>
      </x:c>
      <x:c r="P85" t="str">
        <x:f>IF(A85="","",IF(E85="","Missing owner","OK"))</x:f>
      </x:c>
    </x:row>
    <x:row r="86">
      <x:c r="L86" t="str">
        <x:f>IF(A86="","",IF(OR(C86="Done",F86=""),"No",IF(F86&lt;START_HERE!$B$7,"Yes","No")))</x:f>
      </x:c>
      <x:c r="M86" t="str">
        <x:f>IF(A86="","",IF(C86="Done","No",IF(G86="","Unknown",IF(G86&lt;=START_HERE!$B$7-START_HERE!$B$8,"Yes","No"))))</x:f>
      </x:c>
      <x:c r="N86" t="str">
        <x:f>IF(A86="","",IF(ISNUMBER(SEARCH("stale-simulated",H86)),"Yes","No"))</x:f>
      </x:c>
      <x:c r="O86" s="51" t="str">
        <x:f>IF(A86="","",IF(OR(C86="Done",F86=""),0,MAX(0,START_HERE!$B$7-F86)))</x:f>
      </x:c>
      <x:c r="P86" t="str">
        <x:f>IF(A86="","",IF(E86="","Missing owner","OK"))</x:f>
      </x:c>
    </x:row>
    <x:row r="87">
      <x:c r="L87" t="str">
        <x:f>IF(A87="","",IF(OR(C87="Done",F87=""),"No",IF(F87&lt;START_HERE!$B$7,"Yes","No")))</x:f>
      </x:c>
      <x:c r="M87" t="str">
        <x:f>IF(A87="","",IF(C87="Done","No",IF(G87="","Unknown",IF(G87&lt;=START_HERE!$B$7-START_HERE!$B$8,"Yes","No"))))</x:f>
      </x:c>
      <x:c r="N87" t="str">
        <x:f>IF(A87="","",IF(ISNUMBER(SEARCH("stale-simulated",H87)),"Yes","No"))</x:f>
      </x:c>
      <x:c r="O87" s="51" t="str">
        <x:f>IF(A87="","",IF(OR(C87="Done",F87=""),0,MAX(0,START_HERE!$B$7-F87)))</x:f>
      </x:c>
      <x:c r="P87" t="str">
        <x:f>IF(A87="","",IF(E87="","Missing owner","OK"))</x:f>
      </x:c>
    </x:row>
    <x:row r="88">
      <x:c r="L88" t="str">
        <x:f>IF(A88="","",IF(OR(C88="Done",F88=""),"No",IF(F88&lt;START_HERE!$B$7,"Yes","No")))</x:f>
      </x:c>
      <x:c r="M88" t="str">
        <x:f>IF(A88="","",IF(C88="Done","No",IF(G88="","Unknown",IF(G88&lt;=START_HERE!$B$7-START_HERE!$B$8,"Yes","No"))))</x:f>
      </x:c>
      <x:c r="N88" t="str">
        <x:f>IF(A88="","",IF(ISNUMBER(SEARCH("stale-simulated",H88)),"Yes","No"))</x:f>
      </x:c>
      <x:c r="O88" s="51" t="str">
        <x:f>IF(A88="","",IF(OR(C88="Done",F88=""),0,MAX(0,START_HERE!$B$7-F88)))</x:f>
      </x:c>
      <x:c r="P88" t="str">
        <x:f>IF(A88="","",IF(E88="","Missing owner","OK"))</x:f>
      </x:c>
    </x:row>
    <x:row r="89">
      <x:c r="L89" t="str">
        <x:f>IF(A89="","",IF(OR(C89="Done",F89=""),"No",IF(F89&lt;START_HERE!$B$7,"Yes","No")))</x:f>
      </x:c>
      <x:c r="M89" t="str">
        <x:f>IF(A89="","",IF(C89="Done","No",IF(G89="","Unknown",IF(G89&lt;=START_HERE!$B$7-START_HERE!$B$8,"Yes","No"))))</x:f>
      </x:c>
      <x:c r="N89" t="str">
        <x:f>IF(A89="","",IF(ISNUMBER(SEARCH("stale-simulated",H89)),"Yes","No"))</x:f>
      </x:c>
      <x:c r="O89" s="51" t="str">
        <x:f>IF(A89="","",IF(OR(C89="Done",F89=""),0,MAX(0,START_HERE!$B$7-F89)))</x:f>
      </x:c>
      <x:c r="P89" t="str">
        <x:f>IF(A89="","",IF(E89="","Missing owner","OK"))</x:f>
      </x:c>
    </x:row>
    <x:row r="90">
      <x:c r="L90" t="str">
        <x:f>IF(A90="","",IF(OR(C90="Done",F90=""),"No",IF(F90&lt;START_HERE!$B$7,"Yes","No")))</x:f>
      </x:c>
      <x:c r="M90" t="str">
        <x:f>IF(A90="","",IF(C90="Done","No",IF(G90="","Unknown",IF(G90&lt;=START_HERE!$B$7-START_HERE!$B$8,"Yes","No"))))</x:f>
      </x:c>
      <x:c r="N90" t="str">
        <x:f>IF(A90="","",IF(ISNUMBER(SEARCH("stale-simulated",H90)),"Yes","No"))</x:f>
      </x:c>
      <x:c r="O90" s="51" t="str">
        <x:f>IF(A90="","",IF(OR(C90="Done",F90=""),0,MAX(0,START_HERE!$B$7-F90)))</x:f>
      </x:c>
      <x:c r="P90" t="str">
        <x:f>IF(A90="","",IF(E90="","Missing owner","OK"))</x:f>
      </x:c>
    </x:row>
    <x:row r="91">
      <x:c r="L91" t="str">
        <x:f>IF(A91="","",IF(OR(C91="Done",F91=""),"No",IF(F91&lt;START_HERE!$B$7,"Yes","No")))</x:f>
      </x:c>
      <x:c r="M91" t="str">
        <x:f>IF(A91="","",IF(C91="Done","No",IF(G91="","Unknown",IF(G91&lt;=START_HERE!$B$7-START_HERE!$B$8,"Yes","No"))))</x:f>
      </x:c>
      <x:c r="N91" t="str">
        <x:f>IF(A91="","",IF(ISNUMBER(SEARCH("stale-simulated",H91)),"Yes","No"))</x:f>
      </x:c>
      <x:c r="O91" s="51" t="str">
        <x:f>IF(A91="","",IF(OR(C91="Done",F91=""),0,MAX(0,START_HERE!$B$7-F91)))</x:f>
      </x:c>
      <x:c r="P91" t="str">
        <x:f>IF(A91="","",IF(E91="","Missing owner","OK"))</x:f>
      </x:c>
    </x:row>
    <x:row r="92">
      <x:c r="L92" t="str">
        <x:f>IF(A92="","",IF(OR(C92="Done",F92=""),"No",IF(F92&lt;START_HERE!$B$7,"Yes","No")))</x:f>
      </x:c>
      <x:c r="M92" t="str">
        <x:f>IF(A92="","",IF(C92="Done","No",IF(G92="","Unknown",IF(G92&lt;=START_HERE!$B$7-START_HERE!$B$8,"Yes","No"))))</x:f>
      </x:c>
      <x:c r="N92" t="str">
        <x:f>IF(A92="","",IF(ISNUMBER(SEARCH("stale-simulated",H92)),"Yes","No"))</x:f>
      </x:c>
      <x:c r="O92" s="51" t="str">
        <x:f>IF(A92="","",IF(OR(C92="Done",F92=""),0,MAX(0,START_HERE!$B$7-F92)))</x:f>
      </x:c>
      <x:c r="P92" t="str">
        <x:f>IF(A92="","",IF(E92="","Missing owner","OK"))</x:f>
      </x:c>
    </x:row>
    <x:row r="93">
      <x:c r="L93" t="str">
        <x:f>IF(A93="","",IF(OR(C93="Done",F93=""),"No",IF(F93&lt;START_HERE!$B$7,"Yes","No")))</x:f>
      </x:c>
      <x:c r="M93" t="str">
        <x:f>IF(A93="","",IF(C93="Done","No",IF(G93="","Unknown",IF(G93&lt;=START_HERE!$B$7-START_HERE!$B$8,"Yes","No"))))</x:f>
      </x:c>
      <x:c r="N93" t="str">
        <x:f>IF(A93="","",IF(ISNUMBER(SEARCH("stale-simulated",H93)),"Yes","No"))</x:f>
      </x:c>
      <x:c r="O93" s="51" t="str">
        <x:f>IF(A93="","",IF(OR(C93="Done",F93=""),0,MAX(0,START_HERE!$B$7-F93)))</x:f>
      </x:c>
      <x:c r="P93" t="str">
        <x:f>IF(A93="","",IF(E93="","Missing owner","OK"))</x:f>
      </x:c>
    </x:row>
    <x:row r="94">
      <x:c r="L94" t="str">
        <x:f>IF(A94="","",IF(OR(C94="Done",F94=""),"No",IF(F94&lt;START_HERE!$B$7,"Yes","No")))</x:f>
      </x:c>
      <x:c r="M94" t="str">
        <x:f>IF(A94="","",IF(C94="Done","No",IF(G94="","Unknown",IF(G94&lt;=START_HERE!$B$7-START_HERE!$B$8,"Yes","No"))))</x:f>
      </x:c>
      <x:c r="N94" t="str">
        <x:f>IF(A94="","",IF(ISNUMBER(SEARCH("stale-simulated",H94)),"Yes","No"))</x:f>
      </x:c>
      <x:c r="O94" s="51" t="str">
        <x:f>IF(A94="","",IF(OR(C94="Done",F94=""),0,MAX(0,START_HERE!$B$7-F94)))</x:f>
      </x:c>
      <x:c r="P94" t="str">
        <x:f>IF(A94="","",IF(E94="","Missing owner","OK"))</x:f>
      </x:c>
    </x:row>
    <x:row r="95">
      <x:c r="L95" t="str">
        <x:f>IF(A95="","",IF(OR(C95="Done",F95=""),"No",IF(F95&lt;START_HERE!$B$7,"Yes","No")))</x:f>
      </x:c>
      <x:c r="M95" t="str">
        <x:f>IF(A95="","",IF(C95="Done","No",IF(G95="","Unknown",IF(G95&lt;=START_HERE!$B$7-START_HERE!$B$8,"Yes","No"))))</x:f>
      </x:c>
      <x:c r="N95" t="str">
        <x:f>IF(A95="","",IF(ISNUMBER(SEARCH("stale-simulated",H95)),"Yes","No"))</x:f>
      </x:c>
      <x:c r="O95" s="51" t="str">
        <x:f>IF(A95="","",IF(OR(C95="Done",F95=""),0,MAX(0,START_HERE!$B$7-F95)))</x:f>
      </x:c>
      <x:c r="P95" t="str">
        <x:f>IF(A95="","",IF(E95="","Missing owner","OK"))</x:f>
      </x:c>
    </x:row>
    <x:row r="96">
      <x:c r="L96" t="str">
        <x:f>IF(A96="","",IF(OR(C96="Done",F96=""),"No",IF(F96&lt;START_HERE!$B$7,"Yes","No")))</x:f>
      </x:c>
      <x:c r="M96" t="str">
        <x:f>IF(A96="","",IF(C96="Done","No",IF(G96="","Unknown",IF(G96&lt;=START_HERE!$B$7-START_HERE!$B$8,"Yes","No"))))</x:f>
      </x:c>
      <x:c r="N96" t="str">
        <x:f>IF(A96="","",IF(ISNUMBER(SEARCH("stale-simulated",H96)),"Yes","No"))</x:f>
      </x:c>
      <x:c r="O96" s="51" t="str">
        <x:f>IF(A96="","",IF(OR(C96="Done",F96=""),0,MAX(0,START_HERE!$B$7-F96)))</x:f>
      </x:c>
      <x:c r="P96" t="str">
        <x:f>IF(A96="","",IF(E96="","Missing owner","OK"))</x:f>
      </x:c>
    </x:row>
    <x:row r="97">
      <x:c r="L97" t="str">
        <x:f>IF(A97="","",IF(OR(C97="Done",F97=""),"No",IF(F97&lt;START_HERE!$B$7,"Yes","No")))</x:f>
      </x:c>
      <x:c r="M97" t="str">
        <x:f>IF(A97="","",IF(C97="Done","No",IF(G97="","Unknown",IF(G97&lt;=START_HERE!$B$7-START_HERE!$B$8,"Yes","No"))))</x:f>
      </x:c>
      <x:c r="N97" t="str">
        <x:f>IF(A97="","",IF(ISNUMBER(SEARCH("stale-simulated",H97)),"Yes","No"))</x:f>
      </x:c>
      <x:c r="O97" s="51" t="str">
        <x:f>IF(A97="","",IF(OR(C97="Done",F97=""),0,MAX(0,START_HERE!$B$7-F97)))</x:f>
      </x:c>
      <x:c r="P97" t="str">
        <x:f>IF(A97="","",IF(E97="","Missing owner","OK"))</x:f>
      </x:c>
    </x:row>
    <x:row r="98">
      <x:c r="L98" t="str">
        <x:f>IF(A98="","",IF(OR(C98="Done",F98=""),"No",IF(F98&lt;START_HERE!$B$7,"Yes","No")))</x:f>
      </x:c>
      <x:c r="M98" t="str">
        <x:f>IF(A98="","",IF(C98="Done","No",IF(G98="","Unknown",IF(G98&lt;=START_HERE!$B$7-START_HERE!$B$8,"Yes","No"))))</x:f>
      </x:c>
      <x:c r="N98" t="str">
        <x:f>IF(A98="","",IF(ISNUMBER(SEARCH("stale-simulated",H98)),"Yes","No"))</x:f>
      </x:c>
      <x:c r="O98" s="51" t="str">
        <x:f>IF(A98="","",IF(OR(C98="Done",F98=""),0,MAX(0,START_HERE!$B$7-F98)))</x:f>
      </x:c>
      <x:c r="P98" t="str">
        <x:f>IF(A98="","",IF(E98="","Missing owner","OK"))</x:f>
      </x:c>
    </x:row>
    <x:row r="99">
      <x:c r="L99" t="str">
        <x:f>IF(A99="","",IF(OR(C99="Done",F99=""),"No",IF(F99&lt;START_HERE!$B$7,"Yes","No")))</x:f>
      </x:c>
      <x:c r="M99" t="str">
        <x:f>IF(A99="","",IF(C99="Done","No",IF(G99="","Unknown",IF(G99&lt;=START_HERE!$B$7-START_HERE!$B$8,"Yes","No"))))</x:f>
      </x:c>
      <x:c r="N99" t="str">
        <x:f>IF(A99="","",IF(ISNUMBER(SEARCH("stale-simulated",H99)),"Yes","No"))</x:f>
      </x:c>
      <x:c r="O99" s="51" t="str">
        <x:f>IF(A99="","",IF(OR(C99="Done",F99=""),0,MAX(0,START_HERE!$B$7-F99)))</x:f>
      </x:c>
      <x:c r="P99" t="str">
        <x:f>IF(A99="","",IF(E99="","Missing owner","OK"))</x:f>
      </x:c>
    </x:row>
    <x:row r="100">
      <x:c r="L100" t="str">
        <x:f>IF(A100="","",IF(OR(C100="Done",F100=""),"No",IF(F100&lt;START_HERE!$B$7,"Yes","No")))</x:f>
      </x:c>
      <x:c r="M100" t="str">
        <x:f>IF(A100="","",IF(C100="Done","No",IF(G100="","Unknown",IF(G100&lt;=START_HERE!$B$7-START_HERE!$B$8,"Yes","No"))))</x:f>
      </x:c>
      <x:c r="N100" t="str">
        <x:f>IF(A100="","",IF(ISNUMBER(SEARCH("stale-simulated",H100)),"Yes","No"))</x:f>
      </x:c>
      <x:c r="O100" s="51" t="str">
        <x:f>IF(A100="","",IF(OR(C100="Done",F100=""),0,MAX(0,START_HERE!$B$7-F100)))</x:f>
      </x:c>
      <x:c r="P100" t="str">
        <x:f>IF(A100="","",IF(E100="","Missing owner","OK"))</x:f>
      </x:c>
    </x:row>
    <x:row r="101">
      <x:c r="L101" t="str">
        <x:f>IF(A101="","",IF(OR(C101="Done",F101=""),"No",IF(F101&lt;START_HERE!$B$7,"Yes","No")))</x:f>
      </x:c>
      <x:c r="M101" t="str">
        <x:f>IF(A101="","",IF(C101="Done","No",IF(G101="","Unknown",IF(G101&lt;=START_HERE!$B$7-START_HERE!$B$8,"Yes","No"))))</x:f>
      </x:c>
      <x:c r="N101" t="str">
        <x:f>IF(A101="","",IF(ISNUMBER(SEARCH("stale-simulated",H101)),"Yes","No"))</x:f>
      </x:c>
      <x:c r="O101" s="51" t="str">
        <x:f>IF(A101="","",IF(OR(C101="Done",F101=""),0,MAX(0,START_HERE!$B$7-F101)))</x:f>
      </x:c>
      <x:c r="P101" t="str">
        <x:f>IF(A101="","",IF(E101="","Missing owner","OK"))</x:f>
      </x:c>
    </x:row>
    <x:row r="102">
      <x:c r="L102" t="str">
        <x:f>IF(A102="","",IF(OR(C102="Done",F102=""),"No",IF(F102&lt;START_HERE!$B$7,"Yes","No")))</x:f>
      </x:c>
      <x:c r="M102" t="str">
        <x:f>IF(A102="","",IF(C102="Done","No",IF(G102="","Unknown",IF(G102&lt;=START_HERE!$B$7-START_HERE!$B$8,"Yes","No"))))</x:f>
      </x:c>
      <x:c r="N102" t="str">
        <x:f>IF(A102="","",IF(ISNUMBER(SEARCH("stale-simulated",H102)),"Yes","No"))</x:f>
      </x:c>
      <x:c r="O102" s="51" t="str">
        <x:f>IF(A102="","",IF(OR(C102="Done",F102=""),0,MAX(0,START_HERE!$B$7-F102)))</x:f>
      </x:c>
      <x:c r="P102" t="str">
        <x:f>IF(A102="","",IF(E102="","Missing owner","OK"))</x:f>
      </x:c>
    </x:row>
    <x:row r="103">
      <x:c r="L103" t="str">
        <x:f>IF(A103="","",IF(OR(C103="Done",F103=""),"No",IF(F103&lt;START_HERE!$B$7,"Yes","No")))</x:f>
      </x:c>
      <x:c r="M103" t="str">
        <x:f>IF(A103="","",IF(C103="Done","No",IF(G103="","Unknown",IF(G103&lt;=START_HERE!$B$7-START_HERE!$B$8,"Yes","No"))))</x:f>
      </x:c>
      <x:c r="N103" t="str">
        <x:f>IF(A103="","",IF(ISNUMBER(SEARCH("stale-simulated",H103)),"Yes","No"))</x:f>
      </x:c>
      <x:c r="O103" s="51" t="str">
        <x:f>IF(A103="","",IF(OR(C103="Done",F103=""),0,MAX(0,START_HERE!$B$7-F103)))</x:f>
      </x:c>
      <x:c r="P103" t="str">
        <x:f>IF(A103="","",IF(E103="","Missing owner","OK"))</x:f>
      </x:c>
    </x:row>
    <x:row r="104">
      <x:c r="L104" t="str">
        <x:f>IF(A104="","",IF(OR(C104="Done",F104=""),"No",IF(F104&lt;START_HERE!$B$7,"Yes","No")))</x:f>
      </x:c>
      <x:c r="M104" t="str">
        <x:f>IF(A104="","",IF(C104="Done","No",IF(G104="","Unknown",IF(G104&lt;=START_HERE!$B$7-START_HERE!$B$8,"Yes","No"))))</x:f>
      </x:c>
      <x:c r="N104" t="str">
        <x:f>IF(A104="","",IF(ISNUMBER(SEARCH("stale-simulated",H104)),"Yes","No"))</x:f>
      </x:c>
      <x:c r="O104" s="51" t="str">
        <x:f>IF(A104="","",IF(OR(C104="Done",F104=""),0,MAX(0,START_HERE!$B$7-F104)))</x:f>
      </x:c>
      <x:c r="P104" t="str">
        <x:f>IF(A104="","",IF(E104="","Missing owner","OK"))</x:f>
      </x:c>
    </x:row>
  </x:sheetData>
  <x:mergeCells>
    <x:mergeCell ref="A1:Q1"/>
    <x:mergeCell ref="A2:Q2"/>
  </x:mergeCells>
  <x:conditionalFormatting sqref="L5:L104">
    <x:cfRule type="expression" dxfId="0" priority="1">
      <x:formula>L5="Yes"</x:formula>
    </x:cfRule>
  </x:conditionalFormatting>
  <x:conditionalFormatting sqref="M5:M104">
    <x:cfRule type="expression" dxfId="1" priority="2">
      <x:formula>M5="Yes"</x:formula>
    </x:cfRule>
  </x:conditionalFormatting>
  <x:conditionalFormatting sqref="P5:P104">
    <x:cfRule type="expression" dxfId="2" priority="3">
      <x:formula>P5="Missing owner"</x:formula>
    </x:cfRule>
  </x:conditionalFormatting>
  <x:dataValidations count="2">
    <x:dataValidation type="list" sqref="C5:C100">
      <x:formula1>"To Do,In Progress,Blocked,Done"</x:formula1>
    </x:dataValidation>
    <x:dataValidation type="list" sqref="D5:D100">
      <x:formula1>"Highest,High,Medium,Low"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42" customHeight="1">
      <x:c r="A1" s="4" t="str">
        <x:v>IDBO  |  OPERATIONS HEALTH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4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5" customHeight="1">
      <x:c r="A3" s="54" t="str">
        <x:v>Source: validated Jira.csv export (30 Oct 2026), not live sync. Assignee anonymized; timestamps are authentic Jira export values.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</x:row>
    <x:row r="5">
      <x:c r="A5" t="str">
        <x:v>Reporting date</x:v>
      </x:c>
      <x:c r="B5" s="56" t="n">
        <x:f>START_HERE!B7</x:f>
        <x:v>46325</x:v>
      </x:c>
    </x:row>
    <x:row r="7" ht="23" customHeight="1">
      <x:c r="A7" s="58" t="str">
        <x:v>Total Tickets</x:v>
      </x:c>
      <x:c r="B7" s="58"/>
      <x:c r="C7" s="58"/>
      <x:c r="D7" s="58" t="str">
        <x:v>Open Tickets</x:v>
      </x:c>
      <x:c r="E7" s="58"/>
      <x:c r="F7" s="58"/>
      <x:c r="G7" s="58" t="str">
        <x:v>Done</x:v>
      </x:c>
      <x:c r="H7" s="58"/>
      <x:c r="I7" s="58"/>
      <x:c r="J7" s="58" t="str">
        <x:v>Blocked</x:v>
      </x:c>
      <x:c r="K7" s="58"/>
      <x:c r="L7" s="58"/>
    </x:row>
    <x:row r="8" ht="21" customHeight="1">
      <x:c r="A8" s="62" t="n">
        <x:f>COUNTA(Jira_Tickets!A5:A104)</x:f>
        <x:v>25</x:v>
      </x:c>
      <x:c r="B8" s="62"/>
      <x:c r="C8" s="62"/>
      <x:c r="D8" s="62" t="n">
        <x:f>COUNTIF(Jira_Tickets!C5:C104,"To Do")+COUNTIF(Jira_Tickets!C5:C104,"In Progress")+COUNTIF(Jira_Tickets!C5:C104,"Blocked")</x:f>
        <x:v>19</x:v>
      </x:c>
      <x:c r="E8" s="62"/>
      <x:c r="F8" s="62"/>
      <x:c r="G8" s="62" t="n">
        <x:f>COUNTIF(Jira_Tickets!C5:C104,"Done")</x:f>
        <x:v>6</x:v>
      </x:c>
      <x:c r="H8" s="62"/>
      <x:c r="I8" s="62"/>
      <x:c r="J8" s="62" t="n">
        <x:f>COUNTIF(Jira_Tickets!C5:C104,"Blocked")</x:f>
        <x:v>4</x:v>
      </x:c>
      <x:c r="K8" s="62"/>
      <x:c r="L8" s="62"/>
    </x:row>
    <x:row r="9" ht="21" customHeight="1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</x:row>
    <x:row r="11" ht="23" customHeight="1">
      <x:c r="A11" s="58" t="str">
        <x:v>Overdue Open</x:v>
      </x:c>
      <x:c r="B11" s="58"/>
      <x:c r="C11" s="58"/>
      <x:c r="D11" s="58" t="str">
        <x:v>Actual Stale (7d)</x:v>
      </x:c>
      <x:c r="E11" s="58"/>
      <x:c r="F11" s="58"/>
      <x:c r="G11" s="58" t="str">
        <x:v>Simulated Stale</x:v>
      </x:c>
      <x:c r="H11" s="58"/>
      <x:c r="I11" s="58"/>
      <x:c r="J11" s="58" t="str">
        <x:v>Unassigned</x:v>
      </x:c>
      <x:c r="K11" s="58"/>
      <x:c r="L11" s="58"/>
    </x:row>
    <x:row r="12" ht="21" customHeight="1">
      <x:c r="A12" s="62" t="n">
        <x:f>COUNTIF(Jira_Tickets!L5:L104,"Yes")</x:f>
        <x:v>9</x:v>
      </x:c>
      <x:c r="B12" s="62"/>
      <x:c r="C12" s="62"/>
      <x:c r="D12" s="62" t="n">
        <x:f>IF(COUNTIF(Jira_Tickets!M5:M104,"Unknown")&gt;0,"Pending",COUNTIF(Jira_Tickets!M5:M104,"Yes"))</x:f>
        <x:v>0</x:v>
      </x:c>
      <x:c r="E12" s="62"/>
      <x:c r="F12" s="62"/>
      <x:c r="G12" s="62" t="n">
        <x:f>COUNTIF(Jira_Tickets!N5:N104,"Yes")</x:f>
        <x:v>3</x:v>
      </x:c>
      <x:c r="H12" s="62"/>
      <x:c r="I12" s="62"/>
      <x:c r="J12" s="62" t="n">
        <x:f>COUNTIF(Jira_Tickets!P5:P104,"Missing owner")</x:f>
        <x:v>0</x:v>
      </x:c>
      <x:c r="K12" s="62"/>
      <x:c r="L12" s="62"/>
    </x:row>
    <x:row r="13" ht="21" customHeight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</x:row>
    <x:row r="16" ht="30" customHeight="1">
      <x:c r="A16" s="28" t="str">
        <x:v>Status</x:v>
      </x:c>
      <x:c r="B16" s="28" t="str">
        <x:v>Ticket Count</x:v>
      </x:c>
      <x:c r="C16" s="28" t="str">
        <x:v>%</x:v>
      </x:c>
      <x:c r="E16" s="28" t="str">
        <x:v>Priority</x:v>
      </x:c>
      <x:c r="F16" s="28" t="str">
        <x:v>Ticket Count</x:v>
      </x:c>
    </x:row>
    <x:row r="17">
      <x:c r="A17" t="str">
        <x:v>To Do</x:v>
      </x:c>
      <x:c r="B17" t="n">
        <x:f>COUNTIF(Jira_Tickets!$C$5:$C$104,A17)</x:f>
        <x:v>7</x:v>
      </x:c>
      <x:c r="C17" s="66" t="n">
        <x:f>IFERROR(B17/$B$21,0)</x:f>
        <x:v>0.28</x:v>
      </x:c>
      <x:c r="E17" t="str">
        <x:v>Highest</x:v>
      </x:c>
      <x:c r="F17" t="n">
        <x:f>COUNTIF(Jira_Tickets!$D$5:$D$104,E17)</x:f>
        <x:v>3</x:v>
      </x:c>
    </x:row>
    <x:row r="18">
      <x:c r="A18" t="str">
        <x:v>In Progress</x:v>
      </x:c>
      <x:c r="B18" t="n">
        <x:f>COUNTIF(Jira_Tickets!$C$5:$C$104,A18)</x:f>
        <x:v>8</x:v>
      </x:c>
      <x:c r="C18" s="66" t="n">
        <x:f>IFERROR(B18/$B$21,0)</x:f>
        <x:v>0.32</x:v>
      </x:c>
      <x:c r="E18" t="str">
        <x:v>High</x:v>
      </x:c>
      <x:c r="F18" t="n">
        <x:f>COUNTIF(Jira_Tickets!$D$5:$D$104,E18)</x:f>
        <x:v>9</x:v>
      </x:c>
    </x:row>
    <x:row r="19">
      <x:c r="A19" t="str">
        <x:v>Blocked</x:v>
      </x:c>
      <x:c r="B19" t="n">
        <x:f>COUNTIF(Jira_Tickets!$C$5:$C$104,A19)</x:f>
        <x:v>4</x:v>
      </x:c>
      <x:c r="C19" s="66" t="n">
        <x:f>IFERROR(B19/$B$21,0)</x:f>
        <x:v>0.16</x:v>
      </x:c>
      <x:c r="E19" t="str">
        <x:v>Medium</x:v>
      </x:c>
      <x:c r="F19" t="n">
        <x:f>COUNTIF(Jira_Tickets!$D$5:$D$104,E19)</x:f>
        <x:v>8</x:v>
      </x:c>
    </x:row>
    <x:row r="20">
      <x:c r="A20" t="str">
        <x:v>Done</x:v>
      </x:c>
      <x:c r="B20" t="n">
        <x:f>COUNTIF(Jira_Tickets!$C$5:$C$104,A20)</x:f>
        <x:v>6</x:v>
      </x:c>
      <x:c r="C20" s="66" t="n">
        <x:f>IFERROR(B20/$B$21,0)</x:f>
        <x:v>0.24</x:v>
      </x:c>
      <x:c r="E20" t="str">
        <x:v>Low</x:v>
      </x:c>
      <x:c r="F20" t="n">
        <x:f>COUNTIF(Jira_Tickets!$D$5:$D$104,E20)</x:f>
        <x:v>5</x:v>
      </x:c>
    </x:row>
    <x:row r="21" ht="24" customHeight="1">
      <x:c r="A21" s="9" t="str">
        <x:v>TOTAL</x:v>
      </x:c>
      <x:c r="B21" s="9" t="n">
        <x:f>SUM(B17:B20)</x:f>
        <x:v>25</x:v>
      </x:c>
      <x:c r="C21" s="9"/>
      <x:c r="E21" s="9" t="str">
        <x:v>TOTAL</x:v>
      </x:c>
      <x:c r="F21" s="9" t="n">
        <x:f>SUM(F17:F20)</x:f>
        <x:v>25</x:v>
      </x:c>
    </x:row>
    <x:row r="24" ht="24" customHeight="1">
      <x:c r="A24" s="9" t="str">
        <x:v>TICKET QUALITY NOTES</x:v>
      </x:c>
      <x:c r="B24" s="9"/>
      <x:c r="C24" s="9"/>
      <x:c r="D24" s="9"/>
      <x:c r="E24" s="9"/>
    </x:row>
    <x:row r="26" ht="24" customHeight="1">
      <x:c r="A26" s="18" t="str">
        <x:v>• Missing Updated At = real stale KPI remains Unknown; do not infer historical updates.</x:v>
      </x:c>
      <x:c r="B26" s="18"/>
      <x:c r="C26" s="18"/>
      <x:c r="D26" s="18"/>
      <x:c r="E26" s="18"/>
      <x:c r="F26" s="18"/>
      <x:c r="G26" s="18"/>
    </x:row>
    <x:row r="27" ht="24" customHeight="1">
      <x:c r="A27" s="18" t="str">
        <x:v>• Overdue excludes Done and tickets due today.</x:v>
      </x:c>
      <x:c r="B27" s="18"/>
      <x:c r="C27" s="18"/>
      <x:c r="D27" s="18"/>
      <x:c r="E27" s="18"/>
      <x:c r="F27" s="18"/>
      <x:c r="G27" s="18"/>
    </x:row>
    <x:row r="28" ht="24" customHeight="1">
      <x:c r="A28" s="18" t="str">
        <x:v>• Simulated stale is separate from actual 7-day stale status.</x:v>
      </x:c>
      <x:c r="B28" s="18"/>
      <x:c r="C28" s="18"/>
      <x:c r="D28" s="18"/>
      <x:c r="E28" s="18"/>
      <x:c r="F28" s="18"/>
      <x:c r="G28" s="18"/>
    </x:row>
    <x:row r="29" ht="24" customHeight="1">
      <x:c r="A29" s="18" t="str">
        <x:v>• Use Jira current CSV to verify this prefilled reconstruction.</x:v>
      </x:c>
      <x:c r="B29" s="18"/>
      <x:c r="C29" s="18"/>
      <x:c r="D29" s="18"/>
      <x:c r="E29" s="18"/>
      <x:c r="F29" s="18"/>
      <x:c r="G29" s="18"/>
    </x:row>
  </x:sheetData>
  <x:mergeCells>
    <x:mergeCell ref="A1:O2"/>
    <x:mergeCell ref="A3:O3"/>
    <x:mergeCell ref="A7:C7"/>
    <x:mergeCell ref="A8:C9"/>
    <x:mergeCell ref="D7:F7"/>
    <x:mergeCell ref="D8:F9"/>
    <x:mergeCell ref="G7:I7"/>
    <x:mergeCell ref="G8:I9"/>
    <x:mergeCell ref="J7:L7"/>
    <x:mergeCell ref="J8:L9"/>
    <x:mergeCell ref="A11:C11"/>
    <x:mergeCell ref="A12:C13"/>
    <x:mergeCell ref="D11:F11"/>
    <x:mergeCell ref="D12:F13"/>
    <x:mergeCell ref="G11:I11"/>
    <x:mergeCell ref="G12:I13"/>
    <x:mergeCell ref="J11:L11"/>
    <x:mergeCell ref="J12:L13"/>
    <x:mergeCell ref="A24:E24"/>
    <x:mergeCell ref="A26:G26"/>
    <x:mergeCell ref="A27:G27"/>
    <x:mergeCell ref="A28:G28"/>
    <x:mergeCell ref="A29:G29"/>
  </x:mergeCells>
  <x:pageMargins left="0.7" right="0.7" top="0.75" bottom="0.75" header="0.3" footer="0.3"/>
  <x:drawing xmlns:r="http://schemas.openxmlformats.org/officeDocument/2006/relationships" r:id="R99ed56f4315e4139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2" customHeight="1">
      <x:c r="A1" s="4" t="str">
        <x:v>IDBO  |  WEEKLY STATUS REPORT</x:v>
      </x:c>
      <x:c r="B1" s="4"/>
      <x:c r="C1" s="4"/>
      <x:c r="D1" s="4"/>
      <x:c r="E1" s="4"/>
      <x:c r="F1" s="4"/>
      <x:c r="G1" s="4"/>
      <x:c r="H1" s="4"/>
    </x:row>
    <x:row r="2" ht="42" customHeight="1">
      <x:c r="A2" s="4"/>
      <x:c r="B2" s="4"/>
      <x:c r="C2" s="4"/>
      <x:c r="D2" s="4"/>
      <x:c r="E2" s="4"/>
      <x:c r="F2" s="4"/>
      <x:c r="G2" s="4"/>
      <x:c r="H2" s="4"/>
    </x:row>
    <x:row r="4">
      <x:c r="A4" t="str">
        <x:v>Reporting Date</x:v>
      </x:c>
      <x:c r="B4" s="56" t="n">
        <x:f>START_HERE!B7</x:f>
        <x:v>46325</x:v>
      </x:c>
    </x:row>
    <x:row r="5">
      <x:c r="A5" t="str">
        <x:v>Report Status</x:v>
      </x:c>
      <x:c r="B5" t="str">
        <x:v>Simulation / Snapshot verified from Jira.csv (30 Oct 2026); no live connection</x:v>
      </x:c>
    </x:row>
    <x:row r="7" ht="24" customHeight="1">
      <x:c r="A7" s="9" t="str">
        <x:v>1  EXECUTIVE SUMMARY</x:v>
      </x:c>
      <x:c r="B7" s="9"/>
      <x:c r="C7" s="9"/>
      <x:c r="D7" s="9"/>
      <x:c r="E7" s="9"/>
      <x:c r="F7" s="9"/>
      <x:c r="G7" s="9"/>
      <x:c r="H7" s="9"/>
    </x:row>
    <x:row r="8" ht="27" customHeight="1">
      <x:c r="A8" s="34" t="str">
        <x:v>Jira export confirms 25 simulated work items: 19 open, 6 Done, and 4 Blocked. 9 open tickets have due dates before 30 Oct 2026. All 25 work items were created on 30 Oct, so historical due dates are intentional simulation data.</x:v>
      </x:c>
      <x:c r="B8" s="34"/>
      <x:c r="C8" s="34"/>
      <x:c r="D8" s="34"/>
      <x:c r="E8" s="34"/>
      <x:c r="F8" s="34"/>
      <x:c r="G8" s="34"/>
      <x:c r="H8" s="34"/>
    </x:row>
    <x:row r="9" ht="27" customHeight="1">
      <x:c r="A9" s="34"/>
      <x:c r="B9" s="34"/>
      <x:c r="C9" s="34"/>
      <x:c r="D9" s="34"/>
      <x:c r="E9" s="34"/>
      <x:c r="F9" s="34"/>
      <x:c r="G9" s="34"/>
      <x:c r="H9" s="34"/>
    </x:row>
    <x:row r="10" ht="27" customHeight="1">
      <x:c r="A10" s="34"/>
      <x:c r="B10" s="34"/>
      <x:c r="C10" s="34"/>
      <x:c r="D10" s="34"/>
      <x:c r="E10" s="34"/>
      <x:c r="F10" s="34"/>
      <x:c r="G10" s="34"/>
      <x:c r="H10" s="34"/>
    </x:row>
    <x:row r="12" ht="24" customHeight="1">
      <x:c r="A12" s="9" t="str">
        <x:v>2  DELIVERY &amp; RISK METRICS</x:v>
      </x:c>
      <x:c r="B12" s="9"/>
      <x:c r="C12" s="9"/>
      <x:c r="D12" s="9"/>
      <x:c r="E12" s="9"/>
      <x:c r="F12" s="9"/>
      <x:c r="G12" s="9"/>
      <x:c r="H12" s="9"/>
    </x:row>
    <x:row r="14" ht="23" customHeight="1">
      <x:c r="A14" s="69" t="str">
        <x:v>Total tickets</x:v>
      </x:c>
      <x:c r="B14" s="69"/>
      <x:c r="C14" s="69"/>
      <x:c r="D14" s="72" t="n">
        <x:f>Dashboard!A8</x:f>
        <x:v>25</x:v>
      </x:c>
    </x:row>
    <x:row r="15" ht="23" customHeight="1">
      <x:c r="A15" s="69" t="str">
        <x:v>Open tickets</x:v>
      </x:c>
      <x:c r="B15" s="69"/>
      <x:c r="C15" s="69"/>
      <x:c r="D15" s="72" t="n">
        <x:f>Dashboard!D8</x:f>
        <x:v>19</x:v>
      </x:c>
    </x:row>
    <x:row r="16" ht="23" customHeight="1">
      <x:c r="A16" s="69" t="str">
        <x:v>Done</x:v>
      </x:c>
      <x:c r="B16" s="69"/>
      <x:c r="C16" s="69"/>
      <x:c r="D16" s="72" t="n">
        <x:f>Dashboard!G8</x:f>
        <x:v>6</x:v>
      </x:c>
    </x:row>
    <x:row r="17" ht="23" customHeight="1">
      <x:c r="A17" s="69" t="str">
        <x:v>Blocked</x:v>
      </x:c>
      <x:c r="B17" s="69"/>
      <x:c r="C17" s="69"/>
      <x:c r="D17" s="72" t="n">
        <x:f>Dashboard!J8</x:f>
        <x:v>4</x:v>
      </x:c>
    </x:row>
    <x:row r="18" ht="23" customHeight="1">
      <x:c r="A18" s="69" t="str">
        <x:v>Overdue open</x:v>
      </x:c>
      <x:c r="B18" s="69"/>
      <x:c r="C18" s="69"/>
      <x:c r="D18" s="72" t="n">
        <x:f>Dashboard!A12</x:f>
        <x:v>9</x:v>
      </x:c>
    </x:row>
    <x:row r="19" ht="23" customHeight="1">
      <x:c r="A19" s="69" t="str">
        <x:v>Actual stale (7d)</x:v>
      </x:c>
      <x:c r="B19" s="69"/>
      <x:c r="C19" s="69"/>
      <x:c r="D19" s="72" t="n">
        <x:f>Dashboard!D12</x:f>
        <x:v>0</x:v>
      </x:c>
    </x:row>
    <x:row r="20" ht="23" customHeight="1">
      <x:c r="A20" s="69" t="str">
        <x:v>Simulated stale</x:v>
      </x:c>
      <x:c r="B20" s="69"/>
      <x:c r="C20" s="69"/>
      <x:c r="D20" s="72" t="n">
        <x:f>Dashboard!G12</x:f>
        <x:v>3</x:v>
      </x:c>
    </x:row>
    <x:row r="21" ht="23" customHeight="1">
      <x:c r="A21" s="69" t="str">
        <x:v>Unassigned</x:v>
      </x:c>
      <x:c r="B21" s="69"/>
      <x:c r="C21" s="69"/>
      <x:c r="D21" s="72" t="n">
        <x:f>Dashboard!J12</x:f>
        <x:v>0</x:v>
      </x:c>
    </x:row>
    <x:row r="23" ht="24" customHeight="1">
      <x:c r="A23" s="9" t="str">
        <x:v>3  TOP BLOCKERS</x:v>
      </x:c>
      <x:c r="B23" s="9"/>
      <x:c r="C23" s="9"/>
      <x:c r="D23" s="9"/>
      <x:c r="E23" s="9"/>
      <x:c r="F23" s="9"/>
      <x:c r="G23" s="9"/>
      <x:c r="H23" s="9"/>
    </x:row>
    <x:row r="24" ht="28" customHeight="1">
      <x:c r="A24" s="18" t="str">
        <x:v>IDBO-4: API logs; IDBO-12: UAT sign-off; IDBO-13: missing change approvals/details; IDBO-14: monitoring alert data.</x:v>
      </x:c>
      <x:c r="B24" s="18"/>
      <x:c r="C24" s="18"/>
      <x:c r="D24" s="18"/>
      <x:c r="E24" s="18"/>
      <x:c r="F24" s="18"/>
      <x:c r="G24" s="18"/>
      <x:c r="H24" s="18"/>
    </x:row>
    <x:row r="25" ht="28" customHeight="1">
      <x:c r="A25" s="18"/>
      <x:c r="B25" s="18"/>
      <x:c r="C25" s="18"/>
      <x:c r="D25" s="18"/>
      <x:c r="E25" s="18"/>
      <x:c r="F25" s="18"/>
      <x:c r="G25" s="18"/>
      <x:c r="H25" s="18"/>
    </x:row>
    <x:row r="27" ht="24" customHeight="1">
      <x:c r="A27" s="9" t="str">
        <x:v>4  ACTIONS &amp; FOLLOW-UPS</x:v>
      </x:c>
      <x:c r="B27" s="9"/>
      <x:c r="C27" s="9"/>
      <x:c r="D27" s="9"/>
      <x:c r="E27" s="9"/>
      <x:c r="F27" s="9"/>
      <x:c r="G27" s="9"/>
      <x:c r="H27" s="9"/>
    </x:row>
    <x:row r="28" ht="28" customHeight="1">
      <x:c r="A28" s="18" t="str">
        <x:v>Follow up on four blocked items; verify overdue deadlines, owners, and next actions; document escalations.</x:v>
      </x:c>
      <x:c r="B28" s="18"/>
      <x:c r="C28" s="18"/>
      <x:c r="D28" s="18"/>
      <x:c r="E28" s="18"/>
      <x:c r="F28" s="18"/>
      <x:c r="G28" s="18"/>
      <x:c r="H28" s="18"/>
    </x:row>
    <x:row r="29" ht="28" customHeight="1">
      <x:c r="A29" s="18"/>
      <x:c r="B29" s="18"/>
      <x:c r="C29" s="18"/>
      <x:c r="D29" s="18"/>
      <x:c r="E29" s="18"/>
      <x:c r="F29" s="18"/>
      <x:c r="G29" s="18"/>
      <x:c r="H29" s="18"/>
    </x:row>
    <x:row r="31" ht="24" customHeight="1">
      <x:c r="A31" s="9" t="str">
        <x:v>5  DATA QUALITY &amp; ASSUMPTIONS</x:v>
      </x:c>
      <x:c r="B31" s="9"/>
      <x:c r="C31" s="9"/>
      <x:c r="D31" s="9"/>
      <x:c r="E31" s="9"/>
      <x:c r="F31" s="9"/>
      <x:c r="G31" s="9"/>
      <x:c r="H31" s="9"/>
    </x:row>
    <x:row r="32" ht="28" customHeight="1">
      <x:c r="A32" s="18" t="str">
        <x:v>Data source: Jira.csv exported 30 Oct 2026. Simulated-stale labels are NOT actual inactivity; all actual Updated timestamps are 30 Oct 2026. Six Done tickets have Jira Resolution=Done but no closure-summary comments. Some simulated due dates predate Jira creation.</x:v>
      </x:c>
      <x:c r="B32" s="18"/>
      <x:c r="C32" s="18"/>
      <x:c r="D32" s="18"/>
      <x:c r="E32" s="18"/>
      <x:c r="F32" s="18"/>
      <x:c r="G32" s="18"/>
      <x:c r="H32" s="18"/>
    </x:row>
    <x:row r="33" ht="28" customHeight="1">
      <x:c r="A33" s="18"/>
      <x:c r="B33" s="18"/>
      <x:c r="C33" s="18"/>
      <x:c r="D33" s="18"/>
      <x:c r="E33" s="18"/>
      <x:c r="F33" s="18"/>
      <x:c r="G33" s="18"/>
      <x:c r="H33" s="18"/>
    </x:row>
    <x:row r="35" ht="24" customHeight="1">
      <x:c r="A35" s="9" t="str">
        <x:v>6  STAKEHOLDER SUMMARY</x:v>
      </x:c>
      <x:c r="B35" s="9"/>
      <x:c r="C35" s="9"/>
      <x:c r="D35" s="9"/>
      <x:c r="E35" s="9"/>
      <x:c r="F35" s="9"/>
      <x:c r="G35" s="9"/>
      <x:c r="H35" s="9"/>
    </x:row>
    <x:row r="36" ht="28" customHeight="1">
      <x:c r="A36" s="18" t="str">
        <x:v>Communicate risks clearly; do not claim remediation, release approval or incident closure without documented evidence.</x:v>
      </x:c>
      <x:c r="B36" s="18"/>
      <x:c r="C36" s="18"/>
      <x:c r="D36" s="18"/>
      <x:c r="E36" s="18"/>
      <x:c r="F36" s="18"/>
      <x:c r="G36" s="18"/>
      <x:c r="H36" s="18"/>
    </x:row>
    <x:row r="37" ht="28" customHeight="1">
      <x:c r="A37" s="18"/>
      <x:c r="B37" s="18"/>
      <x:c r="C37" s="18"/>
      <x:c r="D37" s="18"/>
      <x:c r="E37" s="18"/>
      <x:c r="F37" s="18"/>
      <x:c r="G37" s="18"/>
      <x:c r="H37" s="18"/>
    </x:row>
  </x:sheetData>
  <x:mergeCells>
    <x:mergeCell ref="A1:H2"/>
    <x:mergeCell ref="B5:H5"/>
    <x:mergeCell ref="A7:H7"/>
    <x:mergeCell ref="A8:H10"/>
    <x:mergeCell ref="A12:H12"/>
    <x:mergeCell ref="A14:C14"/>
    <x:mergeCell ref="A15:C15"/>
    <x:mergeCell ref="A16:C16"/>
    <x:mergeCell ref="A17:C17"/>
    <x:mergeCell ref="A18:C18"/>
    <x:mergeCell ref="A19:C19"/>
    <x:mergeCell ref="A20:C20"/>
    <x:mergeCell ref="A21:C21"/>
    <x:mergeCell ref="A23:H23"/>
    <x:mergeCell ref="A24:H25"/>
    <x:mergeCell ref="A27:H27"/>
    <x:mergeCell ref="A28:H29"/>
    <x:mergeCell ref="A31:H31"/>
    <x:mergeCell ref="A32:H33"/>
    <x:mergeCell ref="A35:H35"/>
    <x:mergeCell ref="A36:H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3" hidden="0" customWidth="1"/>
    <x:col min="3" max="3" width="78" hidden="0" customWidth="1"/>
  </x:cols>
  <x:sheetData>
    <x:row r="1" ht="42" customHeight="1">
      <x:c r="A1" s="4" t="str">
        <x:v>IDBO  |  GITHUB PORTFOLIO GUIDE</x:v>
      </x:c>
      <x:c r="B1" s="4"/>
      <x:c r="C1" s="4"/>
      <x:c r="D1" s="4"/>
      <x:c r="E1" s="4"/>
      <x:c r="F1" s="4"/>
      <x:c r="G1" s="4"/>
      <x:c r="H1" s="4"/>
    </x:row>
    <x:row r="2" ht="42" customHeight="1">
      <x:c r="A2" s="4"/>
      <x:c r="B2" s="4"/>
      <x:c r="C2" s="4"/>
      <x:c r="D2" s="4"/>
      <x:c r="E2" s="4"/>
      <x:c r="F2" s="4"/>
      <x:c r="G2" s="4"/>
      <x:c r="H2" s="4"/>
    </x:row>
    <x:row r="5" ht="30" customHeight="1">
      <x:c r="A5" s="28" t="str">
        <x:v>STEP</x:v>
      </x:c>
      <x:c r="B5" s="28" t="str">
        <x:v>WHAT TO PREPARE</x:v>
      </x:c>
      <x:c r="C5" s="28" t="str">
        <x:v>ACCEPTANCE CRITERIA</x:v>
      </x:c>
    </x:row>
    <x:row r="6" ht="34" customHeight="1">
      <x:c r="A6" t="str">
        <x:v>01</x:v>
      </x:c>
      <x:c r="B6" s="18" t="str">
        <x:v>Jira board screenshots</x:v>
      </x:c>
      <x:c r="C6" s="18" t="str">
        <x:v>4 statuses and 25 items, no private data</x:v>
      </x:c>
    </x:row>
    <x:row r="7" ht="34" customHeight="1">
      <x:c r="A7" t="str">
        <x:v>02</x:v>
      </x:c>
      <x:c r="B7" s="18" t="str">
        <x:v>Jira dashboard screenshot</x:v>
      </x:c>
      <x:c r="C7" s="18" t="str">
        <x:v>Status / priority / blocked / overdue gadgets visible</x:v>
      </x:c>
    </x:row>
    <x:row r="8" ht="34" customHeight="1">
      <x:c r="A8" t="str">
        <x:v>03</x:v>
      </x:c>
      <x:c r="B8" s="18" t="str">
        <x:v>Confluence screenshots</x:v>
      </x:c>
      <x:c r="C8" s="18" t="str">
        <x:v>Home + playbook + daily checklist + incident runbook + weekly report</x:v>
      </x:c>
    </x:row>
    <x:row r="9" ht="34" customHeight="1">
      <x:c r="A9" t="str">
        <x:v>04</x:v>
      </x:c>
      <x:c r="B9" s="18" t="str">
        <x:v>Workbook</x:v>
      </x:c>
      <x:c r="C9" s="18" t="str">
        <x:v>Use this file after comparing Jira CSV data; don't claim it is synced</x:v>
      </x:c>
    </x:row>
    <x:row r="10" ht="34" customHeight="1">
      <x:c r="A10" t="str">
        <x:v>05</x:v>
      </x:c>
      <x:c r="B10" s="18" t="str">
        <x:v>README</x:v>
      </x:c>
      <x:c r="C10" s="18" t="str">
        <x:v>Explain tools, process, metrics, methods and limitations</x:v>
      </x:c>
    </x:row>
    <x:row r="11" ht="34" customHeight="1">
      <x:c r="A11" t="str">
        <x:v>06</x:v>
      </x:c>
      <x:c r="B11" s="18" t="str">
        <x:v>Evidence and authenticity</x:v>
      </x:c>
      <x:c r="C11" s="18" t="str">
        <x:v>Mark demo data and simulated stale labels clearly</x:v>
      </x:c>
    </x:row>
    <x:row r="12" ht="34" customHeight="1">
      <x:c r="A12" t="str">
        <x:v>07</x:v>
      </x:c>
      <x:c r="B12" s="18" t="str">
        <x:v>Repository</x:v>
      </x:c>
      <x:c r="C12" s="18" t="str">
        <x:v>Set GitHub visibility Public for HR access; keep Jira Private / Limited</x:v>
      </x:c>
    </x:row>
    <x:row r="13" ht="34" customHeight="1">
      <x:c r="A13" t="str">
        <x:v>08</x:v>
      </x:c>
      <x:c r="B13" s="18" t="str">
        <x:v>Final checks</x:v>
      </x:c>
      <x:c r="C13" s="18" t="str">
        <x:v>Open GitHub URL in private browsing and test all files</x:v>
      </x:c>
    </x:row>
    <x:row r="15" ht="24" customHeight="1">
      <x:c r="A15" s="9" t="str">
        <x:v>RECOMMENDED REPOSITORY STRUCTURE</x:v>
      </x:c>
      <x:c r="B15" s="9"/>
      <x:c r="C15" s="9"/>
      <x:c r="D15" s="9"/>
      <x:c r="E15" s="9"/>
      <x:c r="F15" s="9"/>
      <x:c r="G15" s="9"/>
      <x:c r="H15" s="9"/>
    </x:row>
    <x:row r="17" ht="24" customHeight="1">
      <x:c r="A17" t="str">
        <x:v>README.md</x:v>
      </x:c>
    </x:row>
    <x:row r="18" ht="24" customHeight="1">
      <x:c r="A18" t="str">
        <x:v>data/jira-demo-snapshot.csv</x:v>
      </x:c>
    </x:row>
    <x:row r="19" ht="24" customHeight="1">
      <x:c r="A19" t="str">
        <x:v>excel/IDBO_Day5_Operations_Tracker.xlsx</x:v>
      </x:c>
    </x:row>
    <x:row r="20" ht="24" customHeight="1">
      <x:c r="A20" t="str">
        <x:v>docs/operations-playbook.md</x:v>
      </x:c>
    </x:row>
    <x:row r="21" ht="24" customHeight="1">
      <x:c r="A21" t="str">
        <x:v>docs/daily-checklist.md</x:v>
      </x:c>
    </x:row>
    <x:row r="22" ht="24" customHeight="1">
      <x:c r="A22" t="str">
        <x:v>docs/incident-runbook.md</x:v>
      </x:c>
    </x:row>
    <x:row r="23" ht="24" customHeight="1">
      <x:c r="A23" t="str">
        <x:v>docs/weekly-status-report.md</x:v>
      </x:c>
    </x:row>
    <x:row r="24" ht="24" customHeight="1">
      <x:c r="A24" t="str">
        <x:v>screenshots/jira-board.png</x:v>
      </x:c>
    </x:row>
    <x:row r="25" ht="24" customHeight="1">
      <x:c r="A25" t="str">
        <x:v>screenshots/jira-dashboard.png</x:v>
      </x:c>
    </x:row>
    <x:row r="26" ht="24" customHeight="1">
      <x:c r="A26" t="str">
        <x:v>screenshots/confluence-knowledge-base.png</x:v>
      </x:c>
    </x:row>
  </x:sheetData>
  <x:mergeCells>
    <x:mergeCell ref="A1:H2"/>
    <x:mergeCell ref="A15:H15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52" hidden="0" customWidth="1"/>
    <x:col min="4" max="4" width="36" hidden="0" customWidth="1"/>
    <x:col min="5" max="5" width="60" hidden="0" customWidth="1"/>
    <x:col min="6" max="6" width="30" hidden="0" customWidth="1"/>
  </x:cols>
  <x:sheetData>
    <x:row r="1" ht="32" customHeight="1">
      <x:c r="A1" s="77" t="str">
        <x:v>IDBO — DATA QUALITY &amp; PORTFOLIO READINESS AUDIT</x:v>
      </x:c>
      <x:c r="B1" s="77"/>
      <x:c r="C1" s="77"/>
      <x:c r="D1" s="77"/>
      <x:c r="E1" s="77"/>
      <x:c r="F1" s="77"/>
    </x:row>
    <x:row r="2">
      <x:c r="A2" t="str">
        <x:v>Reporting snapshot</x:v>
      </x:c>
      <x:c r="B2" t="str">
        <x:v>30 Oct 2026 — imported Jira.csv (25 records)</x:v>
      </x:c>
    </x:row>
    <x:row r="4" ht="29" customHeight="1">
      <x:c r="A4" s="79" t="str">
        <x:v>Severity</x:v>
      </x:c>
      <x:c r="B4" s="79" t="str">
        <x:v>Check</x:v>
      </x:c>
      <x:c r="C4" s="79" t="str">
        <x:v>Finding / Count</x:v>
      </x:c>
      <x:c r="D4" s="79" t="str">
        <x:v>Affected Tickets</x:v>
      </x:c>
      <x:c r="E4" s="79" t="str">
        <x:v>Recommendation</x:v>
      </x:c>
      <x:c r="F4" s="79" t="str">
        <x:v>Public Portfolio?</x:v>
      </x:c>
    </x:row>
    <x:row r="5" ht="46" customHeight="1">
      <x:c r="A5" s="18" t="str">
        <x:v>PASS</x:v>
      </x:c>
      <x:c r="B5" s="18" t="str">
        <x:v>CSV structure</x:v>
      </x:c>
      <x:c r="C5" s="18" t="str">
        <x:v>25 rows; 51 Jira columns; no truncated rows</x:v>
      </x:c>
      <x:c r="D5" s="18" t="str">
        <x:v>IDBO-1 ... IDBO-25</x:v>
      </x:c>
      <x:c r="E5" s="18" t="str">
        <x:v>No need to re-export for structure</x:v>
      </x:c>
      <x:c r="F5" s="18" t="str">
        <x:v>Yes, use sanitized subset</x:v>
      </x:c>
    </x:row>
    <x:row r="6" ht="46" customHeight="1">
      <x:c r="A6" s="18" t="str">
        <x:v>PASS</x:v>
      </x:c>
      <x:c r="B6" s="18" t="str">
        <x:v>Required fields</x:v>
      </x:c>
      <x:c r="C6" s="18" t="str">
        <x:v>25/25 have key, summary, status, priority, owner, description and due date</x:v>
      </x:c>
      <x:c r="D6" s="18" t="str">
        <x:v>All 25</x:v>
      </x:c>
      <x:c r="E6" s="18" t="str">
        <x:v>Ready for reporting</x:v>
      </x:c>
      <x:c r="F6" s="18" t="str">
        <x:v>Yes, after cleanup</x:v>
      </x:c>
    </x:row>
    <x:row r="7" ht="46" customHeight="1">
      <x:c r="A7" s="18" t="str">
        <x:v>PASS</x:v>
      </x:c>
      <x:c r="B7" s="18" t="str">
        <x:v>Status / Resolution</x:v>
      </x:c>
      <x:c r="C7" s="18" t="str">
        <x:v>7 To Do, 8 In Progress, 4 Blocked, 6 Done; all Done have Resolution=Done</x:v>
      </x:c>
      <x:c r="D7" s="18" t="str">
        <x:v>All 25</x:v>
      </x:c>
      <x:c r="E7" s="18" t="str">
        <x:v>Keep current statuses; do not fabricate completed activities</x:v>
      </x:c>
      <x:c r="F7" s="18" t="str">
        <x:v>Yes, marked simulation</x:v>
      </x:c>
    </x:row>
    <x:row r="8" ht="46" customHeight="1">
      <x:c r="A8" s="18" t="str">
        <x:v>REVIEW</x:v>
      </x:c>
      <x:c r="B8" s="18" t="str">
        <x:v>Done evidence</x:v>
      </x:c>
      <x:c r="C8" s="18" t="str">
        <x:v>6 Done tickets have zero comments; no closure summaries</x:v>
      </x:c>
      <x:c r="D8" s="18" t="str">
        <x:v>IDBO-15 .. IDBO-20</x:v>
      </x:c>
      <x:c r="E8" s="18" t="str">
        <x:v>Add simulated closure notes/evidence only if outcome has been validated</x:v>
      </x:c>
      <x:c r="F8" s="18" t="str">
        <x:v>Share only if documented</x:v>
      </x:c>
    </x:row>
    <x:row r="9" ht="46" customHeight="1">
      <x:c r="A9" s="18" t="str">
        <x:v>REVIEW</x:v>
      </x:c>
      <x:c r="B9" s="18" t="str">
        <x:v>Historical deadlines</x:v>
      </x:c>
      <x:c r="C9" s="18" t="str">
        <x:v>13 due dates precede the Jira Created date (30 Oct)</x:v>
      </x:c>
      <x:c r="D9" s="18" t="str">
        <x:v>13 simulated items</x:v>
      </x:c>
      <x:c r="E9" s="18" t="str">
        <x:v>Clearly mark historical dates as simulated; do not present as authentic delivery history</x:v>
      </x:c>
      <x:c r="F9" s="18" t="str">
        <x:v>Yes, with disclaimer</x:v>
      </x:c>
    </x:row>
    <x:row r="10" ht="46" customHeight="1">
      <x:c r="A10" s="18" t="str">
        <x:v>REVIEW</x:v>
      </x:c>
      <x:c r="B10" s="18" t="str">
        <x:v>Start dates</x:v>
      </x:c>
      <x:c r="C10" s="18" t="str">
        <x:v>20 imported tickets have no Start date</x:v>
      </x:c>
      <x:c r="D10" s="18" t="str">
        <x:v>IDBO-6 .. IDBO-25</x:v>
      </x:c>
      <x:c r="E10" s="18" t="str">
        <x:v>Optional for Kanban; fill if you need lead time and timeline metrics</x:v>
      </x:c>
      <x:c r="F10" s="18" t="str">
        <x:v>Yes</x:v>
      </x:c>
    </x:row>
    <x:row r="11" ht="46" customHeight="1">
      <x:c r="A11" s="18" t="str">
        <x:v>REVIEW</x:v>
      </x:c>
      <x:c r="B11" s="18" t="str">
        <x:v>State consistency</x:v>
      </x:c>
      <x:c r="C11" s="18" t="str">
        <x:v>To Do ticket has comments indicating blocked/in progress; historical comments need clarity</x:v>
      </x:c>
      <x:c r="D11" s="18" t="str">
        <x:v>IDBO-1</x:v>
      </x:c>
      <x:c r="E11" s="18" t="str">
        <x:v>Add current-status clarification if needed; don't delete incident history</x:v>
      </x:c>
      <x:c r="F11" s="18" t="str">
        <x:v>Yes, review notes</x:v>
      </x:c>
    </x:row>
    <x:row r="12" ht="46" customHeight="1">
      <x:c r="A12" s="18" t="str">
        <x:v>REVIEW</x:v>
      </x:c>
      <x:c r="B12" s="18" t="str">
        <x:v>Completion consistency</x:v>
      </x:c>
      <x:c r="C12" s="18" t="str">
        <x:v>Ticket is Done but Description still contains Current Blocker: test environment unavailable</x:v>
      </x:c>
      <x:c r="D12" s="18" t="str">
        <x:v>IDBO-20</x:v>
      </x:c>
      <x:c r="E12" s="18" t="str">
        <x:v>Document resolved dependency or return to Blocked if unresolved</x:v>
      </x:c>
      <x:c r="F12" s="18" t="str">
        <x:v>Yes, after resolved</x:v>
      </x:c>
    </x:row>
    <x:row r="13" ht="46" customHeight="1">
      <x:c r="A13" s="18" t="str">
        <x:v>REVIEW</x:v>
      </x:c>
      <x:c r="B13" s="18" t="str">
        <x:v>Tagging</x:v>
      </x:c>
      <x:c r="C13" s="18" t="str">
        <x:v>Weekly reporting task has incident label</x:v>
      </x:c>
      <x:c r="D13" s="18" t="str">
        <x:v>IDBO-3</x:v>
      </x:c>
      <x:c r="E13" s="18" t="str">
        <x:v>Remove incident label unless reporting work is legitimately an incident</x:v>
      </x:c>
      <x:c r="F13" s="18" t="str">
        <x:v>Yes, after fix</x:v>
      </x:c>
    </x:row>
    <x:row r="14" ht="46" customHeight="1">
      <x:c r="A14" s="18" t="str">
        <x:v>INFO</x:v>
      </x:c>
      <x:c r="B14" s="18" t="str">
        <x:v>Overdue open</x:v>
      </x:c>
      <x:c r="C14" s="18" t="str">
        <x:v>9 open tickets due before 30 Oct; 2 open due exactly 30 Oct</x:v>
      </x:c>
      <x:c r="D14" s="18" t="str">
        <x:v>IDBO-5,8,10,11,21-25 (+2 due today)</x:v>
      </x:c>
      <x:c r="E14" s="18" t="str">
        <x:v>Use due &lt; startOfDay(); exclude Due Today and Done</x:v>
      </x:c>
      <x:c r="F14" s="18" t="str">
        <x:v>Yes</x:v>
      </x:c>
    </x:row>
    <x:row r="15" ht="46" customHeight="1">
      <x:c r="A15" s="18" t="str">
        <x:v>INFO</x:v>
      </x:c>
      <x:c r="B15" s="18" t="str">
        <x:v>Stale tracking</x:v>
      </x:c>
      <x:c r="C15" s="18" t="str">
        <x:v>0 truly stale (Updated 30 Oct); 3 tagged stale-simulated</x:v>
      </x:c>
      <x:c r="D15" s="18" t="str">
        <x:v>IDBO-3,9,14</x:v>
      </x:c>
      <x:c r="E15" s="18" t="str">
        <x:v>Keep actual stale and simulated stale separately</x:v>
      </x:c>
      <x:c r="F15" s="18" t="str">
        <x:v>Yes, with clear labels</x:v>
      </x:c>
    </x:row>
    <x:row r="16" ht="46" customHeight="1">
      <x:c r="A16" s="18" t="str">
        <x:v>PRIVACY</x:v>
      </x:c>
      <x:c r="B16" s="18" t="str">
        <x:v>User identifiers</x:v>
      </x:c>
      <x:c r="C16" s="18" t="str">
        <x:v>Original CSV contains Atlassian account IDs, names, comments</x:v>
      </x:c>
      <x:c r="D16" s="18" t="str">
        <x:v>Original Jira.csv</x:v>
      </x:c>
      <x:c r="E16" s="18" t="str">
        <x:v>Never upload raw Jira.csv to Public GitHub; use sanitized CSV</x:v>
      </x:c>
      <x:c r="F16" s="18" t="str">
        <x:v>NO: raw export</x:v>
      </x:c>
    </x:row>
  </x:sheetData>
  <x:mergeCells>
    <x:mergeCell ref="A1:F1"/>
  </x:mergeCells>
  <x:pageMargins left="0.7" right="0.7" top="0.75" bottom="0.75" header="0.3" footer="0.3"/>
</x:worksheet>
</file>